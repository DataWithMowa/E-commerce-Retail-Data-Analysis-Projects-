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esktop\QUANTUM ANALYTICS\EXCEL PROJECTS\Retail Sales &amp; Customer Demographic Project\"/>
    </mc:Choice>
  </mc:AlternateContent>
  <xr:revisionPtr revIDLastSave="0" documentId="13_ncr:1_{ABD6806E-CFED-49A0-93AC-E1A103553D58}" xr6:coauthVersionLast="47" xr6:coauthVersionMax="47" xr10:uidLastSave="{00000000-0000-0000-0000-000000000000}"/>
  <bookViews>
    <workbookView xWindow="-110" yWindow="-110" windowWidth="19420" windowHeight="10300" activeTab="2" xr2:uid="{255D9838-4EC6-49FE-874A-4F7E8035B486}"/>
  </bookViews>
  <sheets>
    <sheet name="retail_sales_dataset" sheetId="1" r:id="rId1"/>
    <sheet name="Cleaned Data" sheetId="2" r:id="rId2"/>
    <sheet name="Pivot Engine" sheetId="3" r:id="rId3"/>
    <sheet name="Introduction" sheetId="4" r:id="rId4"/>
    <sheet name="Dashboard" sheetId="5" r:id="rId5"/>
  </sheets>
  <definedNames>
    <definedName name="Slicer_Age_Group">#N/A</definedName>
    <definedName name="Slicer_Months__Date">#N/A</definedName>
    <definedName name="Slicer_Quarters__Date">#N/A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a="1"/>
  <c r="F2" i="2" s="1"/>
  <c r="F3" i="2"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510" i="2"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F570" i="2" a="1"/>
  <c r="F570" i="2" s="1"/>
  <c r="F571" i="2" a="1"/>
  <c r="F571" i="2" s="1"/>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587" i="2" a="1"/>
  <c r="F587" i="2" s="1"/>
  <c r="F588" i="2" a="1"/>
  <c r="F588" i="2" s="1"/>
  <c r="F589" i="2" a="1"/>
  <c r="F589" i="2" s="1"/>
  <c r="F590" i="2" a="1"/>
  <c r="F590" i="2" s="1"/>
  <c r="F591" i="2" a="1"/>
  <c r="F591" i="2" s="1"/>
  <c r="F592" i="2" a="1"/>
  <c r="F592" i="2" s="1"/>
  <c r="F593" i="2" a="1"/>
  <c r="F593" i="2" s="1"/>
  <c r="F594" i="2" a="1"/>
  <c r="F594" i="2" s="1"/>
  <c r="F595" i="2" a="1"/>
  <c r="F595" i="2" s="1"/>
  <c r="F596" i="2" a="1"/>
  <c r="F596" i="2" s="1"/>
  <c r="F597" i="2" a="1"/>
  <c r="F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s="1"/>
  <c r="F608" i="2" a="1"/>
  <c r="F608" i="2" s="1"/>
  <c r="F609" i="2" a="1"/>
  <c r="F609" i="2" s="1"/>
  <c r="F610" i="2" a="1"/>
  <c r="F610" i="2" s="1"/>
  <c r="F611" i="2" a="1"/>
  <c r="F611" i="2" s="1"/>
  <c r="F612" i="2" a="1"/>
  <c r="F612" i="2" s="1"/>
  <c r="F613" i="2" a="1"/>
  <c r="F613" i="2" s="1"/>
  <c r="F614" i="2" a="1"/>
  <c r="F614" i="2" s="1"/>
  <c r="F615" i="2" a="1"/>
  <c r="F615" i="2" s="1"/>
  <c r="F616" i="2" a="1"/>
  <c r="F616" i="2" s="1"/>
  <c r="F617" i="2" a="1"/>
  <c r="F617" i="2" s="1"/>
  <c r="F618" i="2" a="1"/>
  <c r="F618" i="2" s="1"/>
  <c r="F619" i="2" a="1"/>
  <c r="F619" i="2" s="1"/>
  <c r="F620" i="2" a="1"/>
  <c r="F620" i="2" s="1"/>
  <c r="F621" i="2" a="1"/>
  <c r="F621" i="2" s="1"/>
  <c r="F622" i="2" a="1"/>
  <c r="F622" i="2" s="1"/>
  <c r="F623" i="2" a="1"/>
  <c r="F623" i="2" s="1"/>
  <c r="F624" i="2" a="1"/>
  <c r="F624" i="2" s="1"/>
  <c r="F625" i="2" a="1"/>
  <c r="F625" i="2" s="1"/>
  <c r="F626" i="2" a="1"/>
  <c r="F626" i="2" s="1"/>
  <c r="F627" i="2" a="1"/>
  <c r="F627" i="2" s="1"/>
  <c r="F628" i="2" a="1"/>
  <c r="F628" i="2" s="1"/>
  <c r="F629" i="2" a="1"/>
  <c r="F629" i="2" s="1"/>
  <c r="F630" i="2" a="1"/>
  <c r="F630" i="2" s="1"/>
  <c r="F631" i="2" a="1"/>
  <c r="F631" i="2" s="1"/>
  <c r="F632" i="2" a="1"/>
  <c r="F632" i="2" s="1"/>
  <c r="F633" i="2" a="1"/>
  <c r="F633" i="2" s="1"/>
  <c r="F634" i="2" a="1"/>
  <c r="F634" i="2" s="1"/>
  <c r="F635" i="2" a="1"/>
  <c r="F635" i="2" s="1"/>
  <c r="F636" i="2" a="1"/>
  <c r="F636" i="2" s="1"/>
  <c r="F637" i="2" a="1"/>
  <c r="F637" i="2" s="1"/>
  <c r="F638" i="2" a="1"/>
  <c r="F638" i="2" s="1"/>
  <c r="F639" i="2" a="1"/>
  <c r="F639" i="2" s="1"/>
  <c r="F640" i="2" a="1"/>
  <c r="F640" i="2" s="1"/>
  <c r="F641" i="2" a="1"/>
  <c r="F641" i="2" s="1"/>
  <c r="F642" i="2" a="1"/>
  <c r="F642" i="2" s="1"/>
  <c r="F643" i="2" a="1"/>
  <c r="F643" i="2" s="1"/>
  <c r="F644" i="2" a="1"/>
  <c r="F644" i="2" s="1"/>
  <c r="F645" i="2" a="1"/>
  <c r="F645" i="2" s="1"/>
  <c r="F646" i="2" a="1"/>
  <c r="F646" i="2" s="1"/>
  <c r="F647" i="2" a="1"/>
  <c r="F647" i="2" s="1"/>
  <c r="F648" i="2" a="1"/>
  <c r="F648" i="2" s="1"/>
  <c r="F649" i="2" a="1"/>
  <c r="F649" i="2"/>
  <c r="F650" i="2" a="1"/>
  <c r="F650" i="2" s="1"/>
  <c r="F651" i="2" a="1"/>
  <c r="F651" i="2" s="1"/>
  <c r="F652" i="2" a="1"/>
  <c r="F652" i="2" s="1"/>
  <c r="F653" i="2" a="1"/>
  <c r="F653" i="2" s="1"/>
  <c r="F654" i="2" a="1"/>
  <c r="F654" i="2" s="1"/>
  <c r="F655" i="2" a="1"/>
  <c r="F655" i="2" s="1"/>
  <c r="F656" i="2" a="1"/>
  <c r="F656" i="2" s="1"/>
  <c r="F657" i="2" a="1"/>
  <c r="F657" i="2" s="1"/>
  <c r="F658" i="2" a="1"/>
  <c r="F658" i="2" s="1"/>
  <c r="F659" i="2" a="1"/>
  <c r="F659" i="2" s="1"/>
  <c r="F660" i="2" a="1"/>
  <c r="F660" i="2" s="1"/>
  <c r="F661" i="2" a="1"/>
  <c r="F661" i="2" s="1"/>
  <c r="F662" i="2" a="1"/>
  <c r="F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F693" i="2" a="1"/>
  <c r="F693" i="2" s="1"/>
  <c r="F694" i="2" a="1"/>
  <c r="F694" i="2" s="1"/>
  <c r="F695" i="2" a="1"/>
  <c r="F695" i="2" s="1"/>
  <c r="F696" i="2" a="1"/>
  <c r="F696" i="2" s="1"/>
  <c r="F697" i="2" a="1"/>
  <c r="F697" i="2" s="1"/>
  <c r="F698" i="2" a="1"/>
  <c r="F698" i="2" s="1"/>
  <c r="F699" i="2" a="1"/>
  <c r="F699" i="2" s="1"/>
  <c r="F700" i="2" a="1"/>
  <c r="F700" i="2" s="1"/>
  <c r="F701" i="2" a="1"/>
  <c r="F701" i="2" s="1"/>
  <c r="F702" i="2" a="1"/>
  <c r="F702" i="2" s="1"/>
  <c r="F703" i="2" a="1"/>
  <c r="F703" i="2" s="1"/>
  <c r="F704" i="2" a="1"/>
  <c r="F704" i="2" s="1"/>
  <c r="F705" i="2" a="1"/>
  <c r="F705" i="2" s="1"/>
  <c r="F706" i="2" a="1"/>
  <c r="F706" i="2" s="1"/>
  <c r="F707" i="2" a="1"/>
  <c r="F707" i="2" s="1"/>
  <c r="F708" i="2" a="1"/>
  <c r="F708" i="2" s="1"/>
  <c r="F709" i="2" a="1"/>
  <c r="F709" i="2" s="1"/>
  <c r="F710" i="2" a="1"/>
  <c r="F710" i="2" s="1"/>
  <c r="F711" i="2" a="1"/>
  <c r="F711" i="2" s="1"/>
  <c r="F712" i="2" a="1"/>
  <c r="F712" i="2" s="1"/>
  <c r="F713" i="2" a="1"/>
  <c r="F713" i="2" s="1"/>
  <c r="F714" i="2" a="1"/>
  <c r="F714" i="2" s="1"/>
  <c r="F715" i="2" a="1"/>
  <c r="F715" i="2" s="1"/>
  <c r="F716" i="2" a="1"/>
  <c r="F716" i="2" s="1"/>
  <c r="F717" i="2" a="1"/>
  <c r="F717" i="2" s="1"/>
  <c r="F718" i="2" a="1"/>
  <c r="F718" i="2" s="1"/>
  <c r="F719" i="2" a="1"/>
  <c r="F719" i="2" s="1"/>
  <c r="F720" i="2" a="1"/>
  <c r="F720" i="2" s="1"/>
  <c r="F721" i="2" a="1"/>
  <c r="F721" i="2" s="1"/>
  <c r="F722" i="2" a="1"/>
  <c r="F722" i="2" s="1"/>
  <c r="F723" i="2" a="1"/>
  <c r="F723" i="2" s="1"/>
  <c r="F724" i="2" a="1"/>
  <c r="F724" i="2" s="1"/>
  <c r="F725" i="2" a="1"/>
  <c r="F725" i="2" s="1"/>
  <c r="F726" i="2" a="1"/>
  <c r="F726" i="2" s="1"/>
  <c r="F727" i="2" a="1"/>
  <c r="F727" i="2" s="1"/>
  <c r="F728" i="2" a="1"/>
  <c r="F728" i="2" s="1"/>
  <c r="F729" i="2" a="1"/>
  <c r="F729" i="2" s="1"/>
  <c r="F730" i="2" a="1"/>
  <c r="F730" i="2" s="1"/>
  <c r="F731" i="2" a="1"/>
  <c r="F731" i="2" s="1"/>
  <c r="F732" i="2" a="1"/>
  <c r="F732" i="2" s="1"/>
  <c r="F733" i="2" a="1"/>
  <c r="F733" i="2" s="1"/>
  <c r="F734" i="2" a="1"/>
  <c r="F734" i="2" s="1"/>
  <c r="F735" i="2" a="1"/>
  <c r="F735" i="2" s="1"/>
  <c r="F736" i="2" a="1"/>
  <c r="F736" i="2" s="1"/>
  <c r="F737" i="2" a="1"/>
  <c r="F737" i="2" s="1"/>
  <c r="F738" i="2" a="1"/>
  <c r="F738" i="2" s="1"/>
  <c r="F739" i="2" a="1"/>
  <c r="F739" i="2" s="1"/>
  <c r="F740" i="2" a="1"/>
  <c r="F740" i="2" s="1"/>
  <c r="F741" i="2" a="1"/>
  <c r="F741" i="2" s="1"/>
  <c r="F742" i="2" a="1"/>
  <c r="F742" i="2" s="1"/>
  <c r="F743" i="2" a="1"/>
  <c r="F743" i="2" s="1"/>
  <c r="F744" i="2" a="1"/>
  <c r="F744" i="2" s="1"/>
  <c r="F745" i="2" a="1"/>
  <c r="F745" i="2"/>
  <c r="F746" i="2" a="1"/>
  <c r="F746" i="2" s="1"/>
  <c r="F747" i="2" a="1"/>
  <c r="F747" i="2" s="1"/>
  <c r="F748" i="2" a="1"/>
  <c r="F748" i="2" s="1"/>
  <c r="F749" i="2" a="1"/>
  <c r="F749" i="2" s="1"/>
  <c r="F750" i="2" a="1"/>
  <c r="F750" i="2" s="1"/>
  <c r="F751" i="2" a="1"/>
  <c r="F751" i="2" s="1"/>
  <c r="F752" i="2" a="1"/>
  <c r="F752" i="2" s="1"/>
  <c r="F753" i="2" a="1"/>
  <c r="F753" i="2" s="1"/>
  <c r="F754" i="2" a="1"/>
  <c r="F754" i="2" s="1"/>
  <c r="F755" i="2" a="1"/>
  <c r="F755" i="2" s="1"/>
  <c r="F756" i="2" a="1"/>
  <c r="F756" i="2" s="1"/>
  <c r="F757" i="2" a="1"/>
  <c r="F757" i="2" s="1"/>
  <c r="F758" i="2" a="1"/>
  <c r="F758" i="2" s="1"/>
  <c r="F759" i="2" a="1"/>
  <c r="F759" i="2" s="1"/>
  <c r="F760" i="2" a="1"/>
  <c r="F760" i="2" s="1"/>
  <c r="F761" i="2" a="1"/>
  <c r="F761" i="2" s="1"/>
  <c r="F762" i="2" a="1"/>
  <c r="F762" i="2" s="1"/>
  <c r="F763" i="2" a="1"/>
  <c r="F763" i="2" s="1"/>
  <c r="F764" i="2" a="1"/>
  <c r="F764" i="2" s="1"/>
  <c r="F765" i="2" a="1"/>
  <c r="F765" i="2" s="1"/>
  <c r="F766" i="2" a="1"/>
  <c r="F766" i="2" s="1"/>
  <c r="F767" i="2" a="1"/>
  <c r="F767" i="2" s="1"/>
  <c r="F768" i="2" a="1"/>
  <c r="F768" i="2" s="1"/>
  <c r="F769" i="2" a="1"/>
  <c r="F769" i="2" s="1"/>
  <c r="F770" i="2" a="1"/>
  <c r="F770" i="2" s="1"/>
  <c r="F771" i="2" a="1"/>
  <c r="F771" i="2" s="1"/>
  <c r="F772" i="2" a="1"/>
  <c r="F772" i="2" s="1"/>
  <c r="F773" i="2" a="1"/>
  <c r="F773" i="2" s="1"/>
  <c r="F774" i="2" a="1"/>
  <c r="F774" i="2" s="1"/>
  <c r="F775" i="2" a="1"/>
  <c r="F775" i="2" s="1"/>
  <c r="F776" i="2" a="1"/>
  <c r="F776" i="2" s="1"/>
  <c r="F777" i="2" a="1"/>
  <c r="F777" i="2" s="1"/>
  <c r="F778" i="2" a="1"/>
  <c r="F778" i="2" s="1"/>
  <c r="F779" i="2" a="1"/>
  <c r="F779" i="2" s="1"/>
  <c r="F780" i="2" a="1"/>
  <c r="F780" i="2" s="1"/>
  <c r="F781" i="2" a="1"/>
  <c r="F781" i="2"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F798" i="2" a="1"/>
  <c r="F798" i="2" s="1"/>
  <c r="F799" i="2" a="1"/>
  <c r="F799" i="2" s="1"/>
  <c r="F800" i="2" a="1"/>
  <c r="F800" i="2" s="1"/>
  <c r="F801" i="2" a="1"/>
  <c r="F801" i="2" s="1"/>
  <c r="F802" i="2" a="1"/>
  <c r="F802" i="2" s="1"/>
  <c r="F803" i="2" a="1"/>
  <c r="F803" i="2" s="1"/>
  <c r="F804" i="2" a="1"/>
  <c r="F804" i="2" s="1"/>
  <c r="F805" i="2" a="1"/>
  <c r="F805" i="2" s="1"/>
  <c r="F806" i="2" a="1"/>
  <c r="F806" i="2" s="1"/>
  <c r="F807" i="2" a="1"/>
  <c r="F807" i="2" s="1"/>
  <c r="F808" i="2" a="1"/>
  <c r="F808" i="2" s="1"/>
  <c r="F809" i="2" a="1"/>
  <c r="F809" i="2" s="1"/>
  <c r="F810" i="2" a="1"/>
  <c r="F810" i="2" s="1"/>
  <c r="F811" i="2" a="1"/>
  <c r="F811" i="2" s="1"/>
  <c r="F812" i="2" a="1"/>
  <c r="F812" i="2" s="1"/>
  <c r="F813" i="2" a="1"/>
  <c r="F813" i="2"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F830" i="2" a="1"/>
  <c r="F830" i="2" s="1"/>
  <c r="F831" i="2" a="1"/>
  <c r="F831" i="2" s="1"/>
  <c r="F832" i="2" a="1"/>
  <c r="F832" i="2" s="1"/>
  <c r="F833" i="2" a="1"/>
  <c r="F833" i="2" s="1"/>
  <c r="F834" i="2" a="1"/>
  <c r="F834" i="2" s="1"/>
  <c r="F835" i="2" a="1"/>
  <c r="F835" i="2" s="1"/>
  <c r="F836" i="2" a="1"/>
  <c r="F836" i="2" s="1"/>
  <c r="F837" i="2" a="1"/>
  <c r="F837" i="2"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F854" i="2" a="1"/>
  <c r="F854" i="2" s="1"/>
  <c r="F855" i="2" a="1"/>
  <c r="F855" i="2" s="1"/>
  <c r="F856" i="2" a="1"/>
  <c r="F856" i="2" s="1"/>
  <c r="F857" i="2" a="1"/>
  <c r="F857" i="2" s="1"/>
  <c r="F858" i="2" a="1"/>
  <c r="F858" i="2" s="1"/>
  <c r="F859" i="2" a="1"/>
  <c r="F859" i="2" s="1"/>
  <c r="F860" i="2" a="1"/>
  <c r="F860" i="2" s="1"/>
  <c r="F861" i="2" a="1"/>
  <c r="F861" i="2" s="1"/>
  <c r="F862" i="2" a="1"/>
  <c r="F862" i="2" s="1"/>
  <c r="F863" i="2" a="1"/>
  <c r="F863" i="2" s="1"/>
  <c r="F864" i="2" a="1"/>
  <c r="F864" i="2" s="1"/>
  <c r="F865" i="2" a="1"/>
  <c r="F865" i="2" s="1"/>
  <c r="F866" i="2" a="1"/>
  <c r="F866" i="2" s="1"/>
  <c r="F867" i="2" a="1"/>
  <c r="F867" i="2" s="1"/>
  <c r="F868" i="2" a="1"/>
  <c r="F868" i="2" s="1"/>
  <c r="F869" i="2" a="1"/>
  <c r="F869" i="2" s="1"/>
  <c r="F870" i="2" a="1"/>
  <c r="F870" i="2" s="1"/>
  <c r="F871" i="2" a="1"/>
  <c r="F871" i="2" s="1"/>
  <c r="F872" i="2" a="1"/>
  <c r="F872" i="2" s="1"/>
  <c r="F873" i="2" a="1"/>
  <c r="F873" i="2" s="1"/>
  <c r="F874" i="2" a="1"/>
  <c r="F874" i="2" s="1"/>
  <c r="F875" i="2" a="1"/>
  <c r="F875" i="2" s="1"/>
  <c r="F876" i="2" a="1"/>
  <c r="F876" i="2" s="1"/>
  <c r="F877" i="2" a="1"/>
  <c r="F877" i="2" s="1"/>
  <c r="F878" i="2" a="1"/>
  <c r="F878" i="2" s="1"/>
  <c r="F879" i="2" a="1"/>
  <c r="F879" i="2" s="1"/>
  <c r="F880" i="2" a="1"/>
  <c r="F880" i="2" s="1"/>
  <c r="F881" i="2" a="1"/>
  <c r="F881" i="2" s="1"/>
  <c r="F882" i="2" a="1"/>
  <c r="F882" i="2" s="1"/>
  <c r="F883" i="2" a="1"/>
  <c r="F883" i="2" s="1"/>
  <c r="F884" i="2" a="1"/>
  <c r="F884" i="2" s="1"/>
  <c r="F885" i="2" a="1"/>
  <c r="F885" i="2" s="1"/>
  <c r="F886" i="2" a="1"/>
  <c r="F886" i="2" s="1"/>
  <c r="F887" i="2" a="1"/>
  <c r="F887" i="2" s="1"/>
  <c r="F888" i="2" a="1"/>
  <c r="F888" i="2" s="1"/>
  <c r="F889" i="2" a="1"/>
  <c r="F889" i="2" s="1"/>
  <c r="F890" i="2" a="1"/>
  <c r="F890" i="2" s="1"/>
  <c r="F891" i="2" a="1"/>
  <c r="F891" i="2" s="1"/>
  <c r="F892" i="2" a="1"/>
  <c r="F892" i="2" s="1"/>
  <c r="F893" i="2" a="1"/>
  <c r="F893" i="2" s="1"/>
  <c r="F894" i="2" a="1"/>
  <c r="F894" i="2" s="1"/>
  <c r="F895" i="2" a="1"/>
  <c r="F895" i="2" s="1"/>
  <c r="F896" i="2" a="1"/>
  <c r="F896" i="2" s="1"/>
  <c r="F897" i="2" a="1"/>
  <c r="F897" i="2" s="1"/>
  <c r="F898" i="2" a="1"/>
  <c r="F898" i="2" s="1"/>
  <c r="F899" i="2" a="1"/>
  <c r="F899" i="2" s="1"/>
  <c r="F900" i="2" a="1"/>
  <c r="F900" i="2" s="1"/>
  <c r="F901" i="2" a="1"/>
  <c r="F901" i="2" s="1"/>
  <c r="F902" i="2" a="1"/>
  <c r="F902" i="2" s="1"/>
  <c r="F903" i="2" a="1"/>
  <c r="F903" i="2" s="1"/>
  <c r="F904" i="2" a="1"/>
  <c r="F904" i="2"/>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F916" i="2" a="1"/>
  <c r="F916" i="2" s="1"/>
  <c r="F917" i="2" a="1"/>
  <c r="F917" i="2" s="1"/>
  <c r="F918" i="2" a="1"/>
  <c r="F918" i="2" s="1"/>
  <c r="F919" i="2" a="1"/>
  <c r="F919" i="2" s="1"/>
  <c r="F920" i="2" a="1"/>
  <c r="F920" i="2" s="1"/>
  <c r="F921" i="2" a="1"/>
  <c r="F921" i="2" s="1"/>
  <c r="F922" i="2" a="1"/>
  <c r="F922" i="2" s="1"/>
  <c r="F923" i="2" a="1"/>
  <c r="F923" i="2" s="1"/>
  <c r="F924" i="2" a="1"/>
  <c r="F924" i="2" s="1"/>
  <c r="F925" i="2" a="1"/>
  <c r="F925" i="2" s="1"/>
  <c r="F926" i="2" a="1"/>
  <c r="F926" i="2" s="1"/>
  <c r="F927" i="2" a="1"/>
  <c r="F927" i="2" s="1"/>
  <c r="F928" i="2" a="1"/>
  <c r="F928" i="2" s="1"/>
  <c r="F929" i="2" a="1"/>
  <c r="F929" i="2" s="1"/>
  <c r="F930" i="2" a="1"/>
  <c r="F930" i="2" s="1"/>
  <c r="F931" i="2" a="1"/>
  <c r="F931" i="2" s="1"/>
  <c r="F932" i="2" a="1"/>
  <c r="F932" i="2" s="1"/>
  <c r="F933" i="2" a="1"/>
  <c r="F933" i="2" s="1"/>
  <c r="F934" i="2" a="1"/>
  <c r="F934" i="2" s="1"/>
  <c r="F935" i="2" a="1"/>
  <c r="F935" i="2" s="1"/>
  <c r="F936" i="2" a="1"/>
  <c r="F936" i="2" s="1"/>
  <c r="F937" i="2" a="1"/>
  <c r="F937" i="2" s="1"/>
  <c r="F938" i="2" a="1"/>
  <c r="F938" i="2" s="1"/>
  <c r="F939" i="2" a="1"/>
  <c r="F939" i="2" s="1"/>
  <c r="F940" i="2" a="1"/>
  <c r="F940" i="2" s="1"/>
  <c r="F941" i="2" a="1"/>
  <c r="F941" i="2" s="1"/>
  <c r="F942" i="2" a="1"/>
  <c r="F942" i="2" s="1"/>
  <c r="F943" i="2" a="1"/>
  <c r="F943" i="2" s="1"/>
  <c r="F944" i="2" a="1"/>
  <c r="F944" i="2" s="1"/>
  <c r="F945" i="2" a="1"/>
  <c r="F945" i="2" s="1"/>
  <c r="F946" i="2" a="1"/>
  <c r="F946" i="2" s="1"/>
  <c r="F947" i="2" a="1"/>
  <c r="F947" i="2" s="1"/>
  <c r="F948" i="2" a="1"/>
  <c r="F948" i="2" s="1"/>
  <c r="F949" i="2" a="1"/>
  <c r="F949" i="2" s="1"/>
  <c r="F950" i="2" a="1"/>
  <c r="F950" i="2" s="1"/>
  <c r="F951" i="2" a="1"/>
  <c r="F951" i="2" s="1"/>
  <c r="F952" i="2" a="1"/>
  <c r="F952" i="2" s="1"/>
  <c r="F953" i="2" a="1"/>
  <c r="F953" i="2" s="1"/>
  <c r="F954" i="2" a="1"/>
  <c r="F954" i="2" s="1"/>
  <c r="F955" i="2" a="1"/>
  <c r="F955" i="2" s="1"/>
  <c r="F956" i="2" a="1"/>
  <c r="F956" i="2" s="1"/>
  <c r="F957" i="2" a="1"/>
  <c r="F957" i="2" s="1"/>
  <c r="F958" i="2" a="1"/>
  <c r="F958" i="2" s="1"/>
  <c r="F959" i="2" a="1"/>
  <c r="F959" i="2" s="1"/>
  <c r="F960" i="2" a="1"/>
  <c r="F960" i="2" s="1"/>
  <c r="F961" i="2" a="1"/>
  <c r="F961" i="2" s="1"/>
  <c r="F962" i="2" a="1"/>
  <c r="F962" i="2" s="1"/>
  <c r="F963" i="2" a="1"/>
  <c r="F963" i="2" s="1"/>
  <c r="F964" i="2" a="1"/>
  <c r="F964" i="2" s="1"/>
  <c r="F965" i="2" a="1"/>
  <c r="F965" i="2" s="1"/>
  <c r="F966" i="2" a="1"/>
  <c r="F966" i="2" s="1"/>
  <c r="F967" i="2" a="1"/>
  <c r="F967" i="2" s="1"/>
  <c r="F968" i="2" a="1"/>
  <c r="F968" i="2" s="1"/>
  <c r="F969" i="2" a="1"/>
  <c r="F969" i="2" s="1"/>
  <c r="F970" i="2" a="1"/>
  <c r="F970" i="2" s="1"/>
  <c r="F971" i="2" a="1"/>
  <c r="F971" i="2" s="1"/>
  <c r="F972" i="2" a="1"/>
  <c r="F972" i="2" s="1"/>
  <c r="F973" i="2" a="1"/>
  <c r="F973" i="2" s="1"/>
  <c r="F974" i="2" a="1"/>
  <c r="F974" i="2" s="1"/>
  <c r="F975" i="2" a="1"/>
  <c r="F975" i="2" s="1"/>
  <c r="F976" i="2" a="1"/>
  <c r="F976" i="2" s="1"/>
  <c r="F977" i="2" a="1"/>
  <c r="F977" i="2" s="1"/>
  <c r="F978" i="2" a="1"/>
  <c r="F978" i="2" s="1"/>
  <c r="F979" i="2" a="1"/>
  <c r="F979" i="2" s="1"/>
  <c r="F980" i="2" a="1"/>
  <c r="F980" i="2" s="1"/>
  <c r="F981" i="2" a="1"/>
  <c r="F981" i="2" s="1"/>
  <c r="F982" i="2" a="1"/>
  <c r="F982" i="2" s="1"/>
  <c r="F983" i="2" a="1"/>
  <c r="F983" i="2" s="1"/>
  <c r="F984" i="2" a="1"/>
  <c r="F984" i="2" s="1"/>
  <c r="F985" i="2" a="1"/>
  <c r="F985" i="2" s="1"/>
  <c r="F986" i="2" a="1"/>
  <c r="F986" i="2" s="1"/>
  <c r="F987" i="2" a="1"/>
  <c r="F987" i="2"/>
  <c r="F988" i="2" a="1"/>
  <c r="F988" i="2" s="1"/>
  <c r="F989" i="2" a="1"/>
  <c r="F989" i="2" s="1"/>
  <c r="F990" i="2" a="1"/>
  <c r="F990" i="2" s="1"/>
  <c r="F991" i="2" a="1"/>
  <c r="F991" i="2" s="1"/>
  <c r="F992" i="2" a="1"/>
  <c r="F992" i="2" s="1"/>
  <c r="F993" i="2" a="1"/>
  <c r="F993" i="2" s="1"/>
  <c r="F994" i="2" a="1"/>
  <c r="F994" i="2" s="1"/>
  <c r="F995" i="2" a="1"/>
  <c r="F995" i="2" s="1"/>
  <c r="F996" i="2" a="1"/>
  <c r="F996" i="2" s="1"/>
  <c r="F997" i="2" a="1"/>
  <c r="F997" i="2" s="1"/>
  <c r="F998" i="2" a="1"/>
  <c r="F998" i="2" s="1"/>
  <c r="F999" i="2" a="1"/>
  <c r="F999" i="2" s="1"/>
  <c r="F1000" i="2" a="1"/>
  <c r="F1000" i="2"/>
  <c r="F1001" i="2" a="1"/>
  <c r="F100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<sst xmlns="http://schemas.openxmlformats.org/spreadsheetml/2006/main" count="6114" uniqueCount="1056">
  <si>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</si>
  <si>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</si>
  <si>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</si>
  <si>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</si>
  <si>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</si>
  <si>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</si>
  <si>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</si>
  <si>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</si>
  <si>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</si>
  <si>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</si>
  <si>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</si>
  <si>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</si>
  <si>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</si>
  <si>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</si>
  <si>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</si>
  <si>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</si>
  <si>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</si>
  <si>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</si>
  <si>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</si>
  <si>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</si>
  <si>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</si>
  <si>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</si>
  <si>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</si>
  <si>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</si>
  <si>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</si>
  <si>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</si>
  <si>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</si>
  <si>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</si>
  <si>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</si>
  <si>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</si>
  <si>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</si>
  <si>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</si>
  <si>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</si>
  <si>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</si>
  <si>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</si>
  <si>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</si>
  <si>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</si>
  <si>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</si>
  <si>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</si>
  <si>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</si>
  <si>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</si>
  <si>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</si>
  <si>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</si>
  <si>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</si>
  <si>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</si>
  <si>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</si>
  <si>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</si>
  <si>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</si>
  <si>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</si>
  <si>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</si>
  <si>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</si>
  <si>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</si>
  <si>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</si>
  <si>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</si>
  <si>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</si>
  <si>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</si>
  <si>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</si>
  <si>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</si>
  <si>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</si>
  <si>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</si>
  <si>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</si>
  <si>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</si>
  <si>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</si>
  <si>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</si>
  <si>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</si>
  <si>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</si>
  <si>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</si>
  <si>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</si>
  <si>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</si>
  <si>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</si>
  <si>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</si>
  <si>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</si>
  <si>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</si>
  <si>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</si>
  <si>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</si>
  <si>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</si>
  <si>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</si>
  <si>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</si>
  <si>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</si>
  <si>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</si>
  <si>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</si>
  <si>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</si>
  <si>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</si>
  <si>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</si>
  <si>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</si>
  <si>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</si>
  <si>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</si>
  <si>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</si>
  <si>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</si>
  <si>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</si>
  <si>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</si>
  <si>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</si>
  <si>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</si>
  <si>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</si>
  <si>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</si>
  <si>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</si>
  <si>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</si>
  <si>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</si>
  <si>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</si>
  <si>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</si>
  <si>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</si>
  <si>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</si>
  <si>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</si>
  <si>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</si>
  <si>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</si>
  <si>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</si>
  <si>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</si>
  <si>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</si>
  <si>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</si>
  <si>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</si>
  <si>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</si>
  <si>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</si>
  <si>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</si>
  <si>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</si>
  <si>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</si>
  <si>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</si>
  <si>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</si>
  <si>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</si>
  <si>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</si>
  <si>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</si>
  <si>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</si>
  <si>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</si>
  <si>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</si>
  <si>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</si>
  <si>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</si>
  <si>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</si>
  <si>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</si>
  <si>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</si>
  <si>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</si>
  <si>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</si>
  <si>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</si>
  <si>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</si>
  <si>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</si>
  <si>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</si>
  <si>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</si>
  <si>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</si>
  <si>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</si>
  <si>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</si>
  <si>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</si>
  <si>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</si>
  <si>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</si>
  <si>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</si>
  <si>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</si>
  <si>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</si>
  <si>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</si>
  <si>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</si>
  <si>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</si>
  <si>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</si>
  <si>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</si>
  <si>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</si>
  <si>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</si>
  <si>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</si>
  <si>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</si>
  <si>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</si>
  <si>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</si>
  <si>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</si>
  <si>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</si>
  <si>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</si>
  <si>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</si>
  <si>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</si>
  <si>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</si>
  <si>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</si>
  <si>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</si>
  <si>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</si>
  <si>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</si>
  <si>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</si>
  <si>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</si>
  <si>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</si>
  <si>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</si>
  <si>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</si>
  <si>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</si>
  <si>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</si>
  <si>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</si>
  <si>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</si>
  <si>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</si>
  <si>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</si>
  <si>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</si>
  <si>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</si>
  <si>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</si>
  <si>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</si>
  <si>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</si>
  <si>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</si>
  <si>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</si>
  <si>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</si>
  <si>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</si>
  <si>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</si>
  <si>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</si>
  <si>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</si>
  <si>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</si>
  <si>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</si>
  <si>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</si>
  <si>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</si>
  <si>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</si>
  <si>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</si>
  <si>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</si>
  <si>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</si>
  <si>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</si>
  <si>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</si>
  <si>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</si>
  <si>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</si>
  <si>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</si>
  <si>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</si>
  <si>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</si>
  <si>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</si>
  <si>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</si>
  <si>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</si>
  <si>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</si>
  <si>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</si>
  <si>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</si>
  <si>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</si>
  <si>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</si>
  <si>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</si>
  <si>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</si>
  <si>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</si>
  <si>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</si>
  <si>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</si>
  <si>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</si>
  <si>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</si>
  <si>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</si>
  <si>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</si>
  <si>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</si>
  <si>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</si>
  <si>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</si>
  <si>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</si>
  <si>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</si>
  <si>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</si>
  <si>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</si>
  <si>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</si>
  <si>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</si>
  <si>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</si>
  <si>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</si>
  <si>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</si>
  <si>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</si>
  <si>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</si>
  <si>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</si>
  <si>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</si>
  <si>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</si>
  <si>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</si>
  <si>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</si>
  <si>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</si>
  <si>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</si>
  <si>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</si>
  <si>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</si>
  <si>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</si>
  <si>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</si>
  <si>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</si>
  <si>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</si>
  <si>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</si>
  <si>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</si>
  <si>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</si>
  <si>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</si>
  <si>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</si>
  <si>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</si>
  <si>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</si>
  <si>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</si>
  <si>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</si>
  <si>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</si>
  <si>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</si>
  <si>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</si>
  <si>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</si>
  <si>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</si>
  <si>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</si>
  <si>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</si>
  <si>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</si>
  <si>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</si>
  <si>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</si>
  <si>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</si>
  <si>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</si>
  <si>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</si>
  <si>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</si>
  <si>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</si>
  <si>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</si>
  <si>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</si>
  <si>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</si>
  <si>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</si>
  <si>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</si>
  <si>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</si>
  <si>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</si>
  <si>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</si>
  <si>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</si>
  <si>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</si>
  <si>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</si>
  <si>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</si>
  <si>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</si>
  <si>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</si>
  <si>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</si>
  <si>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</si>
  <si>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</si>
  <si>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</si>
  <si>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</si>
  <si>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</si>
  <si>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</si>
  <si>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</si>
  <si>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</si>
  <si>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</si>
  <si>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</si>
  <si>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</si>
  <si>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</si>
  <si>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</si>
  <si>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</si>
  <si>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</si>
  <si>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</si>
  <si>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</si>
  <si>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</si>
  <si>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</si>
  <si>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</si>
  <si>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</si>
  <si>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</si>
  <si>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</si>
  <si>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</si>
  <si>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</si>
  <si>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</si>
  <si>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</si>
  <si>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</si>
  <si>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</si>
  <si>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</si>
  <si>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</si>
  <si>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</si>
  <si>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</si>
  <si>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</si>
  <si>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</si>
  <si>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</si>
  <si>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</si>
  <si>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</si>
  <si>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</si>
  <si>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</si>
  <si>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</si>
  <si>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</si>
  <si>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</si>
  <si>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</si>
  <si>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</si>
  <si>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</si>
  <si>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</si>
  <si>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</si>
  <si>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</si>
  <si>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</si>
  <si>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</si>
  <si>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</si>
  <si>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</si>
  <si>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</si>
  <si>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</si>
  <si>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</si>
  <si>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</si>
  <si>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</si>
  <si>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</si>
  <si>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</si>
  <si>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</si>
  <si>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</si>
  <si>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</si>
  <si>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</si>
  <si>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</si>
  <si>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</si>
  <si>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</si>
  <si>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</si>
  <si>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</si>
  <si>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</si>
  <si>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</si>
  <si>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</si>
  <si>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</si>
  <si>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</si>
  <si>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</si>
  <si>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</si>
  <si>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</si>
  <si>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</si>
  <si>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</si>
  <si>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</si>
  <si>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</si>
  <si>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</si>
  <si>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</si>
  <si>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</si>
  <si>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</si>
  <si>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</si>
  <si>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</si>
  <si>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</si>
  <si>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</si>
  <si>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</si>
  <si>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</si>
  <si>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</si>
  <si>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</si>
  <si>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</si>
  <si>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</si>
  <si>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</si>
  <si>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</si>
  <si>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</si>
  <si>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</si>
  <si>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</si>
  <si>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</si>
  <si>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</si>
  <si>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</si>
  <si>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</si>
  <si>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</si>
  <si>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</si>
  <si>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</si>
  <si>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</si>
  <si>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</si>
  <si>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</si>
  <si>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</si>
  <si>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</si>
  <si>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</si>
  <si>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</si>
  <si>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</si>
  <si>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</si>
  <si>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</si>
  <si>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</si>
  <si>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</si>
  <si>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</si>
  <si>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</si>
  <si>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</si>
  <si>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</si>
  <si>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</si>
  <si>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</si>
  <si>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</si>
  <si>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</si>
  <si>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</si>
  <si>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</si>
  <si>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</si>
  <si>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</si>
  <si>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</si>
  <si>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</si>
  <si>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</si>
  <si>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</si>
  <si>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</si>
  <si>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</si>
  <si>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</si>
  <si>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</si>
  <si>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</si>
  <si>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</si>
  <si>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</si>
  <si>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</si>
  <si>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</si>
  <si>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</si>
  <si>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</si>
  <si>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</si>
  <si>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</si>
  <si>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</si>
  <si>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</si>
  <si>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</si>
  <si>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</si>
  <si>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</si>
  <si>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</si>
  <si>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</si>
  <si>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</si>
  <si>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</si>
  <si>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</si>
  <si>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</si>
  <si>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</si>
  <si>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</si>
  <si>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</si>
  <si>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</si>
  <si>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</si>
  <si>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</si>
  <si>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</si>
  <si>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</si>
  <si>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</si>
  <si>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</si>
  <si>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</si>
  <si>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</si>
  <si>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</si>
  <si>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</si>
  <si>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</si>
  <si>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</si>
  <si>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</si>
  <si>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</si>
  <si>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</si>
  <si>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</si>
  <si>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</si>
  <si>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</si>
  <si>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</si>
  <si>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</si>
  <si>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</si>
  <si>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</si>
  <si>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</si>
  <si>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</si>
  <si>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</si>
  <si>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</si>
  <si>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</si>
  <si>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</si>
  <si>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</si>
  <si>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</si>
  <si>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</si>
  <si>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</si>
  <si>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</si>
  <si>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</si>
  <si>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</si>
  <si>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</si>
  <si>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</si>
  <si>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</si>
  <si>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</si>
  <si>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</si>
  <si>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</si>
  <si>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</si>
  <si>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</si>
  <si>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</si>
  <si>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</si>
  <si>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</si>
  <si>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</si>
  <si>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</si>
  <si>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</si>
  <si>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</si>
  <si>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</si>
  <si>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</si>
  <si>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</si>
  <si>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</si>
  <si>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</si>
  <si>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</si>
  <si>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</si>
  <si>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</si>
  <si>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</si>
  <si>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</si>
  <si>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</si>
  <si>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</si>
  <si>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</si>
  <si>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</si>
  <si>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</si>
  <si>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</si>
  <si>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</si>
  <si>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</si>
  <si>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</si>
  <si>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</si>
  <si>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</si>
  <si>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</si>
  <si>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</si>
  <si>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</si>
  <si>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</si>
  <si>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</si>
  <si>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</si>
  <si>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</si>
  <si>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</si>
  <si>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</si>
  <si>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</si>
  <si>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</si>
  <si>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</si>
  <si>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</si>
  <si>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</si>
  <si>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</si>
  <si>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</si>
  <si>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</si>
  <si>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</si>
  <si>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</si>
  <si>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</si>
  <si>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</si>
  <si>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</si>
  <si>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</si>
  <si>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</si>
  <si>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</si>
  <si>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</si>
  <si>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</si>
  <si>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</si>
  <si>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</si>
  <si>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</si>
  <si>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</si>
  <si>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</si>
  <si>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</si>
  <si>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</si>
  <si>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</si>
  <si>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</si>
  <si>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</si>
  <si>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</si>
  <si>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</si>
  <si>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</si>
  <si>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</si>
  <si>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</si>
  <si>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</si>
  <si>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</si>
  <si>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</si>
  <si>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</si>
  <si>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</si>
  <si>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</si>
  <si>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</si>
  <si>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</si>
  <si>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</si>
  <si>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</si>
  <si>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</si>
  <si>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</si>
  <si>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</si>
  <si>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</si>
  <si>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</si>
  <si>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</si>
  <si>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</si>
  <si>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</si>
  <si>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</si>
  <si>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</si>
  <si>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</si>
  <si>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</si>
  <si>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</si>
  <si>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</si>
  <si>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</si>
  <si>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</si>
  <si>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</si>
  <si>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</si>
  <si>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</si>
  <si>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</si>
  <si>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</si>
  <si>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</si>
  <si>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</si>
  <si>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</si>
  <si>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</si>
  <si>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</si>
  <si>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</si>
  <si>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</si>
  <si>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</si>
  <si>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</si>
  <si>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</si>
  <si>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</si>
  <si>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</si>
  <si>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</si>
  <si>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</si>
  <si>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</si>
  <si>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</si>
  <si>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</si>
  <si>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</si>
  <si>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</si>
  <si>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</si>
  <si>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</si>
  <si>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</si>
  <si>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</si>
  <si>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</si>
  <si>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</si>
  <si>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</si>
  <si>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</si>
  <si>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</si>
  <si>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</si>
  <si>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</si>
  <si>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</si>
  <si>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</si>
  <si>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</si>
  <si>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</si>
  <si>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</si>
  <si>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</si>
  <si>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</si>
  <si>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</si>
  <si>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</si>
  <si>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</si>
  <si>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</si>
  <si>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</si>
  <si>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</si>
  <si>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</si>
  <si>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</si>
  <si>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</si>
  <si>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</si>
  <si>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</si>
  <si>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</si>
  <si>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</si>
  <si>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</si>
  <si>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</si>
  <si>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</si>
  <si>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</si>
  <si>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</si>
  <si>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</si>
  <si>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</si>
  <si>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</si>
  <si>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</si>
  <si>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</si>
  <si>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</si>
  <si>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</si>
  <si>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</si>
  <si>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</si>
  <si>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</si>
  <si>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</si>
  <si>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</si>
  <si>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</si>
  <si>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</si>
  <si>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</si>
  <si>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</si>
  <si>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</si>
  <si>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</si>
  <si>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</si>
  <si>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</si>
  <si>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</si>
  <si>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</si>
  <si>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</si>
  <si>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</si>
  <si>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</si>
  <si>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</si>
  <si>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</si>
  <si>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</si>
  <si>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</si>
  <si>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</si>
  <si>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</si>
  <si>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</si>
  <si>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</si>
  <si>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</si>
  <si>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</si>
  <si>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</si>
  <si>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</si>
  <si>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</si>
  <si>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</si>
  <si>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</si>
  <si>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</si>
  <si>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</si>
  <si>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</si>
  <si>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</si>
  <si>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</si>
  <si>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</si>
  <si>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</si>
  <si>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</si>
  <si>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</si>
  <si>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</si>
  <si>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</si>
  <si>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</si>
  <si>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</si>
  <si>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</si>
  <si>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</si>
  <si>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</si>
  <si>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</si>
  <si>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</si>
  <si>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</si>
  <si>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</si>
  <si>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</si>
  <si>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</si>
  <si>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</si>
  <si>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</si>
  <si>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</si>
  <si>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</si>
  <si>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</si>
  <si>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</si>
  <si>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</si>
  <si>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</si>
  <si>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</si>
  <si>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</si>
  <si>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</si>
  <si>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</si>
  <si>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</si>
  <si>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</si>
  <si>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</si>
  <si>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</si>
  <si>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</si>
  <si>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</si>
  <si>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</si>
  <si>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</si>
  <si>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</si>
  <si>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</si>
  <si>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</si>
  <si>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</si>
  <si>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</si>
  <si>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</si>
  <si>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</si>
  <si>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</si>
  <si>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</si>
  <si>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</si>
  <si>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</si>
  <si>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</si>
  <si>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</si>
  <si>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</si>
  <si>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</si>
  <si>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</si>
  <si>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</si>
  <si>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</si>
  <si>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</si>
  <si>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</si>
  <si>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</si>
  <si>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</si>
  <si>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</si>
  <si>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</si>
  <si>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</si>
  <si>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</si>
  <si>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</si>
  <si>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</si>
  <si>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</si>
  <si>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</si>
  <si>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</si>
  <si>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</si>
  <si>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</si>
  <si>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</si>
  <si>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</si>
  <si>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</si>
  <si>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</si>
  <si>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</si>
  <si>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</si>
  <si>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</si>
  <si>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</si>
  <si>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</si>
  <si>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</si>
  <si>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</si>
  <si>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</si>
  <si>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</si>
  <si>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</si>
  <si>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</si>
  <si>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</si>
  <si>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</si>
  <si>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</si>
  <si>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</si>
  <si>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</si>
  <si>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</si>
  <si>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</si>
  <si>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</si>
  <si>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</si>
  <si>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</si>
  <si>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</si>
  <si>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</si>
  <si>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</si>
  <si>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</si>
  <si>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</si>
  <si>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</si>
  <si>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</si>
  <si>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</si>
  <si>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</si>
  <si>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</si>
  <si>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</si>
  <si>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</si>
  <si>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</si>
  <si>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</si>
  <si>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</si>
  <si>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</si>
  <si>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</si>
  <si>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</si>
  <si>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</si>
  <si>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</si>
  <si>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</si>
  <si>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</si>
  <si>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</si>
  <si>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</si>
  <si>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</si>
  <si>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</si>
  <si>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</si>
  <si>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</si>
  <si>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</si>
  <si>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</si>
  <si>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</si>
  <si>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</si>
  <si>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</si>
  <si>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</si>
  <si>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</si>
  <si>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</si>
  <si>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</si>
  <si>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</si>
  <si>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</si>
  <si>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</si>
  <si>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</si>
  <si>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</si>
  <si>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</si>
  <si>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</si>
  <si>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</si>
  <si>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</si>
  <si>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</si>
  <si>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</si>
  <si>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</si>
  <si>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</si>
  <si>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</si>
  <si>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</si>
  <si>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</si>
  <si>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</si>
  <si>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</si>
  <si>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</si>
  <si>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</si>
  <si>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</si>
  <si>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</si>
  <si>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</si>
  <si>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</si>
  <si>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</si>
  <si>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</si>
  <si>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</si>
  <si>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</si>
  <si>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</si>
  <si>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</si>
  <si>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</si>
  <si>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</si>
  <si>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</si>
  <si>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</si>
  <si>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</si>
  <si>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</si>
  <si>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</si>
  <si>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</si>
  <si>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</si>
  <si>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</si>
  <si>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</si>
  <si>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</si>
  <si>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</si>
  <si>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</si>
  <si>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</si>
  <si>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</si>
  <si>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</si>
  <si>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</si>
  <si>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</si>
  <si>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</si>
  <si>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</si>
  <si>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</si>
  <si>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</si>
  <si>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</si>
  <si>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</si>
  <si>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</si>
  <si>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</si>
  <si>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</si>
  <si>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</si>
  <si>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</si>
  <si>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</si>
  <si>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</si>
  <si>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</si>
  <si>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</si>
  <si>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</si>
  <si>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</si>
  <si>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</si>
  <si>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</si>
  <si>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</si>
  <si>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</si>
  <si>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</si>
  <si>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</si>
  <si>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</si>
  <si>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</si>
  <si>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</si>
  <si>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</si>
  <si>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</si>
  <si>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</si>
  <si>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</si>
  <si>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</si>
  <si>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</si>
  <si>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</si>
  <si>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</si>
  <si>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</si>
  <si>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</si>
  <si>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</si>
  <si>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</si>
  <si>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</si>
  <si>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</si>
  <si>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</si>
  <si>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</si>
  <si>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</si>
  <si>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</si>
  <si>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</si>
  <si>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</si>
  <si>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</si>
  <si>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</si>
  <si>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</si>
  <si>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</si>
  <si>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</si>
  <si>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</si>
  <si>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</si>
  <si>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</si>
  <si>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</si>
  <si>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</si>
  <si>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</si>
  <si>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</si>
  <si>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</si>
  <si>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</si>
  <si>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</si>
  <si>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</si>
  <si>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</si>
  <si>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</si>
  <si>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</si>
  <si>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</si>
  <si>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</si>
  <si>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</si>
  <si>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</si>
  <si>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</si>
  <si>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</si>
  <si>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</si>
  <si>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</si>
  <si>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</si>
  <si>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</si>
  <si>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</si>
  <si>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</si>
  <si>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</si>
  <si>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</si>
  <si>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</si>
  <si>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</si>
  <si>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</si>
  <si>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</si>
  <si>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</si>
  <si>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</si>
  <si>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</si>
  <si>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</si>
  <si>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</si>
  <si>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</si>
  <si>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</si>
  <si>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</si>
  <si>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</si>
  <si>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</si>
  <si>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</si>
  <si>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</si>
  <si>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</si>
  <si>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</si>
  <si>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</si>
  <si>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</si>
  <si>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</si>
  <si>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</si>
  <si>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</si>
  <si>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</si>
  <si>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</si>
  <si>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</si>
  <si>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</si>
  <si>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</si>
  <si>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</si>
  <si>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</si>
  <si>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</si>
  <si>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</si>
  <si>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</si>
  <si>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</si>
  <si>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</si>
  <si>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</si>
  <si>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</si>
  <si>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</si>
  <si>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</si>
  <si>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</si>
  <si>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</si>
  <si>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</si>
  <si>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</si>
  <si>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</si>
  <si>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</si>
  <si>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</si>
  <si>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</si>
  <si>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</si>
  <si>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</si>
  <si>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</si>
  <si>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</si>
  <si>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</si>
  <si>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</si>
  <si>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</si>
  <si>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</si>
  <si>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</si>
  <si>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</si>
  <si>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</si>
  <si>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</si>
  <si>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</si>
  <si>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</si>
  <si>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 Group</t>
  </si>
  <si>
    <t>1. How does customer age and gender influence their purchasing behavior?</t>
  </si>
  <si>
    <t>Grand Total</t>
  </si>
  <si>
    <t>18-35</t>
  </si>
  <si>
    <t>36-50</t>
  </si>
  <si>
    <t>51-65</t>
  </si>
  <si>
    <t>Total Revenue</t>
  </si>
  <si>
    <t>Gender &amp; Age Groups</t>
  </si>
  <si>
    <t>Total Total Revenue</t>
  </si>
  <si>
    <t>Total Average Revenue</t>
  </si>
  <si>
    <t>Average Revenue</t>
  </si>
  <si>
    <t xml:space="preserve">2. Are there discernible patterns in sales across different time periods? </t>
  </si>
  <si>
    <t>2023</t>
  </si>
  <si>
    <t>2024</t>
  </si>
  <si>
    <t>Qtr1</t>
  </si>
  <si>
    <t>Qtr2</t>
  </si>
  <si>
    <t>Qtr3</t>
  </si>
  <si>
    <t>Qtr4</t>
  </si>
  <si>
    <t>Jan</t>
  </si>
  <si>
    <t>Feb</t>
  </si>
  <si>
    <t>Mar</t>
  </si>
  <si>
    <t>Apr</t>
  </si>
  <si>
    <t>May</t>
  </si>
  <si>
    <t>Jun</t>
  </si>
  <si>
    <t>Jul</t>
  </si>
  <si>
    <t>Aug</t>
  </si>
  <si>
    <t>Sep</t>
  </si>
  <si>
    <t>Oct</t>
  </si>
  <si>
    <t>Nov</t>
  </si>
  <si>
    <t>Dec</t>
  </si>
  <si>
    <t xml:space="preserve">3. Which product categories hold the highest appeal among customers? </t>
  </si>
  <si>
    <t>Sum of Quantity</t>
  </si>
  <si>
    <t>Total Quantity</t>
  </si>
  <si>
    <t xml:space="preserve">4. What are the relationships between age, spending, and product preferences? </t>
  </si>
  <si>
    <t>Product Categories</t>
  </si>
  <si>
    <t>Average Order Value</t>
  </si>
  <si>
    <t xml:space="preserve">5. How do customers adapt their shopping habits during seasonal trends? </t>
  </si>
  <si>
    <t>6. Are there distinct purchasing behaviors based on the number of items bought per transaction?</t>
  </si>
  <si>
    <t>1 Item</t>
  </si>
  <si>
    <t>2 Items</t>
  </si>
  <si>
    <t>3 Items</t>
  </si>
  <si>
    <t>4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</si>
</sst>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0"/>
    </dxf>
    <dxf>
      <numFmt numFmtId="164" formatCode="&quot;$&quot;#,##0"/>
    </dxf>
    <dxf>
      <numFmt numFmtId="0" formatCode="General"/>
    </dxf>
    <dxf>
      <numFmt numFmtId="19" formatCode="m/d/yyyy"/>
    </dxf>
  </dxfs>
  <tableStyles count="0" defaultTableStyle="TableStyleMedium2" defaultPivotStyle="PivotStyleLight16"/>
  <colors>
    <mruColors>
      <color rgb="FFD69E2E"/>
      <color rgb="FF4A122E"/>
      <color rgb="FF2D3748"/>
      <color rgb="FF2B6CB0"/>
      <color rgb="FF1A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Segoe UI" panose="020B0502040204020203" pitchFamily="34" charset="0"/>
                <a:cs typeface="Segoe UI" panose="020B0502040204020203" pitchFamily="34" charset="0"/>
              </a:rPr>
              <a:t>Customer Spending Trends: Gender &amp; Age</a:t>
            </a:r>
            <a:endParaRPr lang="en-US"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Engine'!$B$3:$B$5</c:f>
              <c:strCache>
                <c:ptCount val="1"/>
                <c:pt idx="0">
                  <c:v>Beauty - Total Revenue</c:v>
                </c:pt>
              </c:strCache>
            </c:strRef>
          </c:tx>
          <c:spPr>
            <a:solidFill>
              <a:srgbClr val="4A122E"/>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Engine'!$B$6:$B$14</c:f>
              <c:numCache>
                <c:formatCode>"$"#,##0</c:formatCode>
                <c:ptCount val="6"/>
                <c:pt idx="0">
                  <c:v>32185</c:v>
                </c:pt>
                <c:pt idx="1">
                  <c:v>24235</c:v>
                </c:pt>
                <c:pt idx="2">
                  <c:v>18410</c:v>
                </c:pt>
                <c:pt idx="3">
                  <c:v>30335</c:v>
                </c:pt>
                <c:pt idx="4">
                  <c:v>24875</c:v>
                </c:pt>
                <c:pt idx="5">
                  <c:v>13475</c:v>
                </c:pt>
              </c:numCache>
            </c:numRef>
          </c:val>
          <c:extLst>
            <c:ext xmlns:c16="http://schemas.microsoft.com/office/drawing/2014/chart" uri="{C3380CC4-5D6E-409C-BE32-E72D297353CC}">
              <c16:uniqueId val="{00000000-3CEB-4323-92B5-9B6B14328610}"/>
            </c:ext>
          </c:extLst>
        </c:ser>
        <c:ser>
          <c:idx val="2"/>
          <c:order val="2"/>
          <c:tx>
            <c:strRef>
              <c:f>'Pivot Engine'!$D$3:$D$5</c:f>
              <c:strCache>
                <c:ptCount val="1"/>
                <c:pt idx="0">
                  <c:v>Clothing - Total Revenue</c:v>
                </c:pt>
              </c:strCache>
            </c:strRef>
          </c:tx>
          <c:spPr>
            <a:solidFill>
              <a:srgbClr val="D69E2E"/>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Engine'!$D$6:$D$14</c:f>
              <c:numCache>
                <c:formatCode>"$"#,##0</c:formatCode>
                <c:ptCount val="6"/>
                <c:pt idx="0">
                  <c:v>31145</c:v>
                </c:pt>
                <c:pt idx="1">
                  <c:v>25345</c:v>
                </c:pt>
                <c:pt idx="2">
                  <c:v>24785</c:v>
                </c:pt>
                <c:pt idx="3">
                  <c:v>35340</c:v>
                </c:pt>
                <c:pt idx="4">
                  <c:v>17630</c:v>
                </c:pt>
                <c:pt idx="5">
                  <c:v>21335</c:v>
                </c:pt>
              </c:numCache>
            </c:numRef>
          </c:val>
          <c:extLst>
            <c:ext xmlns:c16="http://schemas.microsoft.com/office/drawing/2014/chart" uri="{C3380CC4-5D6E-409C-BE32-E72D297353CC}">
              <c16:uniqueId val="{00000002-3CEB-4323-92B5-9B6B14328610}"/>
            </c:ext>
          </c:extLst>
        </c:ser>
        <c:ser>
          <c:idx val="4"/>
          <c:order val="4"/>
          <c:tx>
            <c:strRef>
              <c:f>'Pivot Engine'!$F$3:$F$5</c:f>
              <c:strCache>
                <c:ptCount val="1"/>
                <c:pt idx="0">
                  <c:v>Electronics - Total Revenue</c:v>
                </c:pt>
              </c:strCache>
            </c:strRef>
          </c:tx>
          <c:spPr>
            <a:solidFill>
              <a:schemeClr val="bg2">
                <a:lumMod val="50000"/>
              </a:schemeClr>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Engine'!$F$6:$F$14</c:f>
              <c:numCache>
                <c:formatCode>"$"#,##0</c:formatCode>
                <c:ptCount val="6"/>
                <c:pt idx="0">
                  <c:v>31255</c:v>
                </c:pt>
                <c:pt idx="1">
                  <c:v>21210</c:v>
                </c:pt>
                <c:pt idx="2">
                  <c:v>24270</c:v>
                </c:pt>
                <c:pt idx="3">
                  <c:v>22770</c:v>
                </c:pt>
                <c:pt idx="4">
                  <c:v>26365</c:v>
                </c:pt>
                <c:pt idx="5">
                  <c:v>31035</c:v>
                </c:pt>
              </c:numCache>
            </c:numRef>
          </c:val>
          <c:extLst>
            <c:ext xmlns:c16="http://schemas.microsoft.com/office/drawing/2014/chart" uri="{C3380CC4-5D6E-409C-BE32-E72D297353CC}">
              <c16:uniqueId val="{00000004-3CEB-4323-92B5-9B6B14328610}"/>
            </c:ext>
          </c:extLst>
        </c:ser>
        <c:dLbls>
          <c:showLegendKey val="0"/>
          <c:showVal val="0"/>
          <c:showCatName val="0"/>
          <c:showSerName val="0"/>
          <c:showPercent val="0"/>
          <c:showBubbleSize val="0"/>
        </c:dLbls>
        <c:gapWidth val="219"/>
        <c:axId val="1259334447"/>
        <c:axId val="1116668815"/>
      </c:barChart>
      <c:lineChart>
        <c:grouping val="standard"/>
        <c:varyColors val="0"/>
        <c:ser>
          <c:idx val="1"/>
          <c:order val="1"/>
          <c:tx>
            <c:strRef>
              <c:f>'Pivot Engine'!$C$3:$C$5</c:f>
              <c:strCache>
                <c:ptCount val="1"/>
                <c:pt idx="0">
                  <c:v>Beauty - Average Revenue</c:v>
                </c:pt>
              </c:strCache>
            </c:strRef>
          </c:tx>
          <c:spPr>
            <a:ln w="28575" cap="rnd">
              <a:solidFill>
                <a:schemeClr val="accent4"/>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Engine'!$C$6:$C$14</c:f>
              <c:numCache>
                <c:formatCode>"$"#,##0</c:formatCode>
                <c:ptCount val="6"/>
                <c:pt idx="0">
                  <c:v>473.30882352941177</c:v>
                </c:pt>
                <c:pt idx="1">
                  <c:v>494.59183673469386</c:v>
                </c:pt>
                <c:pt idx="2">
                  <c:v>375.71428571428572</c:v>
                </c:pt>
                <c:pt idx="3">
                  <c:v>514.15254237288138</c:v>
                </c:pt>
                <c:pt idx="4">
                  <c:v>578.48837209302326</c:v>
                </c:pt>
                <c:pt idx="5">
                  <c:v>345.5128205128205</c:v>
                </c:pt>
              </c:numCache>
            </c:numRef>
          </c:val>
          <c:smooth val="0"/>
          <c:extLst>
            <c:ext xmlns:c16="http://schemas.microsoft.com/office/drawing/2014/chart" uri="{C3380CC4-5D6E-409C-BE32-E72D297353CC}">
              <c16:uniqueId val="{00000001-3CEB-4323-92B5-9B6B14328610}"/>
            </c:ext>
          </c:extLst>
        </c:ser>
        <c:ser>
          <c:idx val="3"/>
          <c:order val="3"/>
          <c:tx>
            <c:strRef>
              <c:f>'Pivot Engine'!$E$3:$E$5</c:f>
              <c:strCache>
                <c:ptCount val="1"/>
                <c:pt idx="0">
                  <c:v>Clothing - Average Revenue</c:v>
                </c:pt>
              </c:strCache>
            </c:strRef>
          </c:tx>
          <c:spPr>
            <a:ln w="28575" cap="rnd">
              <a:solidFill>
                <a:schemeClr val="accent2">
                  <a:lumMod val="60000"/>
                </a:schemeClr>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Engine'!$E$6:$E$14</c:f>
              <c:numCache>
                <c:formatCode>"$"#,##0</c:formatCode>
                <c:ptCount val="6"/>
                <c:pt idx="0">
                  <c:v>587.64150943396226</c:v>
                </c:pt>
                <c:pt idx="1">
                  <c:v>408.79032258064518</c:v>
                </c:pt>
                <c:pt idx="2">
                  <c:v>420.08474576271186</c:v>
                </c:pt>
                <c:pt idx="3">
                  <c:v>490.83333333333331</c:v>
                </c:pt>
                <c:pt idx="4">
                  <c:v>345.68627450980392</c:v>
                </c:pt>
                <c:pt idx="5">
                  <c:v>395.09259259259261</c:v>
                </c:pt>
              </c:numCache>
            </c:numRef>
          </c:val>
          <c:smooth val="0"/>
          <c:extLst>
            <c:ext xmlns:c16="http://schemas.microsoft.com/office/drawing/2014/chart" uri="{C3380CC4-5D6E-409C-BE32-E72D297353CC}">
              <c16:uniqueId val="{00000003-3CEB-4323-92B5-9B6B14328610}"/>
            </c:ext>
          </c:extLst>
        </c:ser>
        <c:ser>
          <c:idx val="5"/>
          <c:order val="5"/>
          <c:tx>
            <c:strRef>
              <c:f>'Pivot Engine'!$G$3:$G$5</c:f>
              <c:strCache>
                <c:ptCount val="1"/>
                <c:pt idx="0">
                  <c:v>Electronics - Average Revenue</c:v>
                </c:pt>
              </c:strCache>
            </c:strRef>
          </c:tx>
          <c:spPr>
            <a:ln w="28575" cap="rnd">
              <a:solidFill>
                <a:schemeClr val="accent6">
                  <a:lumMod val="60000"/>
                </a:schemeClr>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Engine'!$G$6:$G$14</c:f>
              <c:numCache>
                <c:formatCode>"$"#,##0</c:formatCode>
                <c:ptCount val="6"/>
                <c:pt idx="0">
                  <c:v>466.49253731343282</c:v>
                </c:pt>
                <c:pt idx="1">
                  <c:v>400.18867924528303</c:v>
                </c:pt>
                <c:pt idx="2">
                  <c:v>485.4</c:v>
                </c:pt>
                <c:pt idx="3">
                  <c:v>414</c:v>
                </c:pt>
                <c:pt idx="4">
                  <c:v>479.36363636363637</c:v>
                </c:pt>
                <c:pt idx="5">
                  <c:v>500.56451612903226</c:v>
                </c:pt>
              </c:numCache>
            </c:numRef>
          </c:val>
          <c:smooth val="0"/>
          <c:extLst>
            <c:ext xmlns:c16="http://schemas.microsoft.com/office/drawing/2014/chart" uri="{C3380CC4-5D6E-409C-BE32-E72D297353CC}">
              <c16:uniqueId val="{00000005-3CEB-4323-92B5-9B6B14328610}"/>
            </c:ext>
          </c:extLst>
        </c:ser>
        <c:dLbls>
          <c:showLegendKey val="0"/>
          <c:showVal val="0"/>
          <c:showCatName val="0"/>
          <c:showSerName val="0"/>
          <c:showPercent val="0"/>
          <c:showBubbleSize val="0"/>
        </c:dLbls>
        <c:marker val="1"/>
        <c:smooth val="0"/>
        <c:axId val="1284438975"/>
        <c:axId val="1116670255"/>
      </c:lineChart>
      <c:catAx>
        <c:axId val="125933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68815"/>
        <c:crosses val="autoZero"/>
        <c:auto val="1"/>
        <c:lblAlgn val="ctr"/>
        <c:lblOffset val="100"/>
        <c:noMultiLvlLbl val="0"/>
      </c:catAx>
      <c:valAx>
        <c:axId val="1116668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34447"/>
        <c:crosses val="autoZero"/>
        <c:crossBetween val="between"/>
      </c:valAx>
      <c:valAx>
        <c:axId val="111667025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38975"/>
        <c:crosses val="max"/>
        <c:crossBetween val="between"/>
      </c:valAx>
      <c:catAx>
        <c:axId val="1284438975"/>
        <c:scaling>
          <c:orientation val="minMax"/>
        </c:scaling>
        <c:delete val="1"/>
        <c:axPos val="b"/>
        <c:numFmt formatCode="General" sourceLinked="1"/>
        <c:majorTickMark val="out"/>
        <c:minorTickMark val="none"/>
        <c:tickLblPos val="nextTo"/>
        <c:crossAx val="1116670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[Retail-Sales-Dashboard.xlsx]Pivot Engine!PivotTable2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Over</a:t>
            </a:r>
            <a:r>
              <a:rPr lang="en-US" b="1" baseline="0">
                <a:solidFill>
                  <a:schemeClr val="tx1"/>
                </a:solidFill>
              </a:rPr>
              <a:t> T</a:t>
            </a:r>
            <a:r>
              <a:rPr lang="en-US" b="1">
                <a:solidFill>
                  <a:schemeClr val="tx1"/>
                </a:solidFill>
              </a:rPr>
              <a: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Engine'!$B$37</c:f>
              <c:strCache>
                <c:ptCount val="1"/>
                <c:pt idx="0">
                  <c:v>Total</c:v>
                </c:pt>
              </c:strCache>
            </c:strRef>
          </c:tx>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cat>
            <c:multiLvlStrRef>
              <c:f>'Pivot Engine'!$A$38:$A$58</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Qtr1</c:v>
                  </c:pt>
                  <c:pt idx="3">
                    <c:v>Qtr2</c:v>
                  </c:pt>
                  <c:pt idx="6">
                    <c:v>Qtr3</c:v>
                  </c:pt>
                  <c:pt idx="9">
                    <c:v>Qtr4</c:v>
                  </c:pt>
                  <c:pt idx="12">
                    <c:v>Qtr1</c:v>
                  </c:pt>
                </c:lvl>
                <c:lvl>
                  <c:pt idx="0">
                    <c:v>2023</c:v>
                  </c:pt>
                  <c:pt idx="12">
                    <c:v>2024</c:v>
                  </c:pt>
                </c:lvl>
              </c:multiLvlStrCache>
            </c:multiLvlStrRef>
          </c:cat>
          <c:val>
            <c:numRef>
              <c:f>'Pivot Engine'!$B$38:$B$58</c:f>
              <c:numCache>
                <c:formatCode>"$"#,##0</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F34A-4975-B540-B5D0EA0477AE}"/>
            </c:ext>
          </c:extLst>
        </c:ser>
        <c:dLbls>
          <c:showLegendKey val="0"/>
          <c:showVal val="0"/>
          <c:showCatName val="0"/>
          <c:showSerName val="0"/>
          <c:showPercent val="0"/>
          <c:showBubbleSize val="0"/>
        </c:dLbls>
        <c:marker val="1"/>
        <c:smooth val="0"/>
        <c:axId val="1284437583"/>
        <c:axId val="1116660655"/>
      </c:lineChart>
      <c:catAx>
        <c:axId val="12844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60655"/>
        <c:crosses val="autoZero"/>
        <c:auto val="1"/>
        <c:lblAlgn val="ctr"/>
        <c:lblOffset val="100"/>
        <c:noMultiLvlLbl val="0"/>
      </c:catAx>
      <c:valAx>
        <c:axId val="11166606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3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[Retail-Sales-Dashboard.xlsx]Pivot Engine!PivotTable3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69E2E"/>
          </a:solidFill>
          <a:ln>
            <a:noFill/>
          </a:ln>
          <a:effectLst/>
        </c:spPr>
      </c:pivotFmt>
      <c:pivotFmt>
        <c:idx val="2"/>
        <c:spPr>
          <a:solidFill>
            <a:schemeClr val="bg2">
              <a:lumMod val="50000"/>
            </a:schemeClr>
          </a:solidFill>
          <a:ln>
            <a:noFill/>
          </a:ln>
          <a:effectLst/>
        </c:spPr>
      </c:pivotFmt>
    </c:pivotFmts>
    <c:plotArea>
      <c:layout/>
      <c:barChart>
        <c:barDir val="col"/>
        <c:grouping val="clustered"/>
        <c:varyColors val="0"/>
        <c:ser>
          <c:idx val="0"/>
          <c:order val="0"/>
          <c:tx>
            <c:strRef>
              <c:f>'Pivot Engine'!$B$63</c:f>
              <c:strCache>
                <c:ptCount val="1"/>
                <c:pt idx="0">
                  <c:v>Total</c:v>
                </c:pt>
              </c:strCache>
            </c:strRef>
          </c:tx>
          <c:spPr>
            <a:solidFill>
              <a:srgbClr val="4A122E"/>
            </a:solidFill>
            <a:ln>
              <a:noFill/>
            </a:ln>
            <a:effectLst/>
          </c:spPr>
          <c:invertIfNegative val="0"/>
          <c:dPt>
            <c:idx val="1"/>
            <c:invertIfNegative val="0"/>
            <c:bubble3D val="0"/>
            <c:spPr>
              <a:solidFill>
                <a:srgbClr val="D69E2E"/>
              </a:solidFill>
              <a:ln>
                <a:noFill/>
              </a:ln>
              <a:effectLst/>
            </c:spPr>
            <c:extLst>
              <c:ext xmlns:c16="http://schemas.microsoft.com/office/drawing/2014/chart" uri="{C3380CC4-5D6E-409C-BE32-E72D297353CC}">
                <c16:uniqueId val="{00000000-2BB4-4650-B3E4-56658C0E7A50}"/>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1-2BB4-4650-B3E4-56658C0E7A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Engine'!$A$64:$A$67</c:f>
              <c:strCache>
                <c:ptCount val="3"/>
                <c:pt idx="0">
                  <c:v>Beauty</c:v>
                </c:pt>
                <c:pt idx="1">
                  <c:v>Clothing</c:v>
                </c:pt>
                <c:pt idx="2">
                  <c:v>Electronics</c:v>
                </c:pt>
              </c:strCache>
            </c:strRef>
          </c:cat>
          <c:val>
            <c:numRef>
              <c:f>'Pivot Engine'!$B$64:$B$67</c:f>
              <c:numCache>
                <c:formatCode>General</c:formatCode>
                <c:ptCount val="3"/>
                <c:pt idx="0">
                  <c:v>771</c:v>
                </c:pt>
                <c:pt idx="1">
                  <c:v>894</c:v>
                </c:pt>
                <c:pt idx="2">
                  <c:v>849</c:v>
                </c:pt>
              </c:numCache>
            </c:numRef>
          </c:val>
          <c:extLst>
            <c:ext xmlns:c16="http://schemas.microsoft.com/office/drawing/2014/chart" uri="{C3380CC4-5D6E-409C-BE32-E72D297353CC}">
              <c16:uniqueId val="{00000000-5490-4B04-A377-3F49B19654A9}"/>
            </c:ext>
          </c:extLst>
        </c:ser>
        <c:dLbls>
          <c:dLblPos val="outEnd"/>
          <c:showLegendKey val="0"/>
          <c:showVal val="1"/>
          <c:showCatName val="0"/>
          <c:showSerName val="0"/>
          <c:showPercent val="0"/>
          <c:showBubbleSize val="0"/>
        </c:dLbls>
        <c:gapWidth val="219"/>
        <c:overlap val="-27"/>
        <c:axId val="1405657343"/>
        <c:axId val="1408042703"/>
      </c:barChart>
      <c:catAx>
        <c:axId val="14056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42703"/>
        <c:crosses val="autoZero"/>
        <c:auto val="1"/>
        <c:lblAlgn val="ctr"/>
        <c:lblOffset val="100"/>
        <c:noMultiLvlLbl val="0"/>
      </c:catAx>
      <c:valAx>
        <c:axId val="1408042703"/>
        <c:scaling>
          <c:orientation val="minMax"/>
        </c:scaling>
        <c:delete val="1"/>
        <c:axPos val="l"/>
        <c:numFmt formatCode="General" sourceLinked="1"/>
        <c:majorTickMark val="out"/>
        <c:minorTickMark val="none"/>
        <c:tickLblPos val="nextTo"/>
        <c:crossAx val="140565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Preferences By Age Group and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Engine'!$B$80:$B$81</c:f>
              <c:strCache>
                <c:ptCount val="1"/>
                <c:pt idx="0">
                  <c:v>Beauty</c:v>
                </c:pt>
              </c:strCache>
            </c:strRef>
          </c:tx>
          <c:spPr>
            <a:solidFill>
              <a:srgbClr val="4A12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Engine'!$B$82:$B$85</c:f>
              <c:numCache>
                <c:formatCode>"$"#,##0</c:formatCode>
                <c:ptCount val="3"/>
                <c:pt idx="0">
                  <c:v>492.28346456692913</c:v>
                </c:pt>
                <c:pt idx="1">
                  <c:v>533.804347826087</c:v>
                </c:pt>
                <c:pt idx="2">
                  <c:v>362.32954545454544</c:v>
                </c:pt>
              </c:numCache>
            </c:numRef>
          </c:val>
          <c:extLst>
            <c:ext xmlns:c16="http://schemas.microsoft.com/office/drawing/2014/chart" uri="{C3380CC4-5D6E-409C-BE32-E72D297353CC}">
              <c16:uniqueId val="{00000000-C82A-4D14-9F4E-DD9477A6765D}"/>
            </c:ext>
          </c:extLst>
        </c:ser>
        <c:ser>
          <c:idx val="1"/>
          <c:order val="1"/>
          <c:tx>
            <c:strRef>
              <c:f>'Pivot Engine'!$C$80:$C$81</c:f>
              <c:strCache>
                <c:ptCount val="1"/>
                <c:pt idx="0">
                  <c:v>Clothing</c:v>
                </c:pt>
              </c:strCache>
            </c:strRef>
          </c:tx>
          <c:spPr>
            <a:solidFill>
              <a:srgbClr val="D69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Engine'!$C$82:$C$85</c:f>
              <c:numCache>
                <c:formatCode>"$"#,##0</c:formatCode>
                <c:ptCount val="3"/>
                <c:pt idx="0">
                  <c:v>531.88</c:v>
                </c:pt>
                <c:pt idx="1">
                  <c:v>380.30973451327435</c:v>
                </c:pt>
                <c:pt idx="2">
                  <c:v>408.14159292035396</c:v>
                </c:pt>
              </c:numCache>
            </c:numRef>
          </c:val>
          <c:extLst>
            <c:ext xmlns:c16="http://schemas.microsoft.com/office/drawing/2014/chart" uri="{C3380CC4-5D6E-409C-BE32-E72D297353CC}">
              <c16:uniqueId val="{00000001-C82A-4D14-9F4E-DD9477A6765D}"/>
            </c:ext>
          </c:extLst>
        </c:ser>
        <c:ser>
          <c:idx val="2"/>
          <c:order val="2"/>
          <c:tx>
            <c:strRef>
              <c:f>'Pivot Engine'!$D$80:$D$81</c:f>
              <c:strCache>
                <c:ptCount val="1"/>
                <c:pt idx="0">
                  <c:v>Electronics</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Engine'!$D$82:$D$85</c:f>
              <c:numCache>
                <c:formatCode>"$"#,##0</c:formatCode>
                <c:ptCount val="3"/>
                <c:pt idx="0">
                  <c:v>442.82786885245901</c:v>
                </c:pt>
                <c:pt idx="1">
                  <c:v>440.50925925925924</c:v>
                </c:pt>
                <c:pt idx="2">
                  <c:v>493.79464285714283</c:v>
                </c:pt>
              </c:numCache>
            </c:numRef>
          </c:val>
          <c:extLst>
            <c:ext xmlns:c16="http://schemas.microsoft.com/office/drawing/2014/chart" uri="{C3380CC4-5D6E-409C-BE32-E72D297353CC}">
              <c16:uniqueId val="{00000002-C82A-4D14-9F4E-DD9477A6765D}"/>
            </c:ext>
          </c:extLst>
        </c:ser>
        <c:dLbls>
          <c:dLblPos val="outEnd"/>
          <c:showLegendKey val="0"/>
          <c:showVal val="1"/>
          <c:showCatName val="0"/>
          <c:showSerName val="0"/>
          <c:showPercent val="0"/>
          <c:showBubbleSize val="0"/>
        </c:dLbls>
        <c:gapWidth val="219"/>
        <c:overlap val="-27"/>
        <c:axId val="1276428383"/>
        <c:axId val="1408030703"/>
      </c:barChart>
      <c:catAx>
        <c:axId val="12764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30703"/>
        <c:crosses val="autoZero"/>
        <c:auto val="1"/>
        <c:lblAlgn val="ctr"/>
        <c:lblOffset val="100"/>
        <c:noMultiLvlLbl val="0"/>
      </c:catAx>
      <c:valAx>
        <c:axId val="1408030703"/>
        <c:scaling>
          <c:orientation val="minMax"/>
        </c:scaling>
        <c:delete val="1"/>
        <c:axPos val="l"/>
        <c:numFmt formatCode="&quot;$&quot;#,##0" sourceLinked="1"/>
        <c:majorTickMark val="none"/>
        <c:minorTickMark val="none"/>
        <c:tickLblPos val="nextTo"/>
        <c:crossAx val="127642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Shopping</a:t>
            </a:r>
            <a:r>
              <a:rPr lang="en-US" baseline="0"/>
              <a:t> Habits By Seasonal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s>
    <c:plotArea>
      <c:layout/>
      <c:barChart>
        <c:barDir val="col"/>
        <c:grouping val="clustered"/>
        <c:varyColors val="0"/>
        <c:ser>
          <c:idx val="0"/>
          <c:order val="0"/>
          <c:tx>
            <c:strRef>
              <c:f>'Pivot Engine'!$B$106:$B$107</c:f>
              <c:strCache>
                <c:ptCount val="1"/>
                <c:pt idx="0">
                  <c:v>Beauty</c:v>
                </c:pt>
              </c:strCache>
            </c:strRef>
          </c:tx>
          <c:spPr>
            <a:solidFill>
              <a:srgbClr val="4A12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Engine'!$B$108:$B$115</c:f>
              <c:numCache>
                <c:formatCode>General</c:formatCode>
                <c:ptCount val="5"/>
                <c:pt idx="0">
                  <c:v>178</c:v>
                </c:pt>
                <c:pt idx="1">
                  <c:v>200</c:v>
                </c:pt>
                <c:pt idx="2">
                  <c:v>182</c:v>
                </c:pt>
                <c:pt idx="3">
                  <c:v>208</c:v>
                </c:pt>
                <c:pt idx="4">
                  <c:v>3</c:v>
                </c:pt>
              </c:numCache>
            </c:numRef>
          </c:val>
          <c:extLst>
            <c:ext xmlns:c16="http://schemas.microsoft.com/office/drawing/2014/chart" uri="{C3380CC4-5D6E-409C-BE32-E72D297353CC}">
              <c16:uniqueId val="{00000000-938A-4407-9792-9199A655A0FF}"/>
            </c:ext>
          </c:extLst>
        </c:ser>
        <c:ser>
          <c:idx val="1"/>
          <c:order val="1"/>
          <c:tx>
            <c:strRef>
              <c:f>'Pivot Engine'!$C$106:$C$107</c:f>
              <c:strCache>
                <c:ptCount val="1"/>
                <c:pt idx="0">
                  <c:v>Clothing</c:v>
                </c:pt>
              </c:strCache>
            </c:strRef>
          </c:tx>
          <c:spPr>
            <a:solidFill>
              <a:srgbClr val="D69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Engine'!$C$108:$C$115</c:f>
              <c:numCache>
                <c:formatCode>General</c:formatCode>
                <c:ptCount val="5"/>
                <c:pt idx="0">
                  <c:v>258</c:v>
                </c:pt>
                <c:pt idx="1">
                  <c:v>257</c:v>
                </c:pt>
                <c:pt idx="2">
                  <c:v>183</c:v>
                </c:pt>
                <c:pt idx="3">
                  <c:v>196</c:v>
                </c:pt>
              </c:numCache>
            </c:numRef>
          </c:val>
          <c:extLst>
            <c:ext xmlns:c16="http://schemas.microsoft.com/office/drawing/2014/chart" uri="{C3380CC4-5D6E-409C-BE32-E72D297353CC}">
              <c16:uniqueId val="{00000001-938A-4407-9792-9199A655A0FF}"/>
            </c:ext>
          </c:extLst>
        </c:ser>
        <c:ser>
          <c:idx val="2"/>
          <c:order val="2"/>
          <c:tx>
            <c:strRef>
              <c:f>'Pivot Engine'!$D$106:$D$107</c:f>
              <c:strCache>
                <c:ptCount val="1"/>
                <c:pt idx="0">
                  <c:v>Electronics</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Engine'!$D$108:$D$115</c:f>
              <c:numCache>
                <c:formatCode>General</c:formatCode>
                <c:ptCount val="5"/>
                <c:pt idx="0">
                  <c:v>167</c:v>
                </c:pt>
                <c:pt idx="1">
                  <c:v>213</c:v>
                </c:pt>
                <c:pt idx="2">
                  <c:v>208</c:v>
                </c:pt>
                <c:pt idx="3">
                  <c:v>260</c:v>
                </c:pt>
                <c:pt idx="4">
                  <c:v>1</c:v>
                </c:pt>
              </c:numCache>
            </c:numRef>
          </c:val>
          <c:extLst>
            <c:ext xmlns:c16="http://schemas.microsoft.com/office/drawing/2014/chart" uri="{C3380CC4-5D6E-409C-BE32-E72D297353CC}">
              <c16:uniqueId val="{00000002-938A-4407-9792-9199A655A0FF}"/>
            </c:ext>
          </c:extLst>
        </c:ser>
        <c:dLbls>
          <c:dLblPos val="outEnd"/>
          <c:showLegendKey val="0"/>
          <c:showVal val="1"/>
          <c:showCatName val="0"/>
          <c:showSerName val="0"/>
          <c:showPercent val="0"/>
          <c:showBubbleSize val="0"/>
        </c:dLbls>
        <c:gapWidth val="219"/>
        <c:overlap val="-27"/>
        <c:axId val="1445385119"/>
        <c:axId val="1408069103"/>
      </c:barChart>
      <c:catAx>
        <c:axId val="144538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69103"/>
        <c:crosses val="autoZero"/>
        <c:auto val="1"/>
        <c:lblAlgn val="ctr"/>
        <c:lblOffset val="100"/>
        <c:noMultiLvlLbl val="0"/>
      </c:catAx>
      <c:valAx>
        <c:axId val="1408069103"/>
        <c:scaling>
          <c:orientation val="minMax"/>
        </c:scaling>
        <c:delete val="1"/>
        <c:axPos val="l"/>
        <c:numFmt formatCode="General" sourceLinked="1"/>
        <c:majorTickMark val="none"/>
        <c:minorTickMark val="none"/>
        <c:tickLblPos val="nextTo"/>
        <c:crossAx val="144538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Purchasing</a:t>
            </a:r>
            <a:r>
              <a:rPr lang="en-US" baseline="0"/>
              <a:t> Behaviour By Product Category and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Engine'!$B$124:$B$125</c:f>
              <c:strCache>
                <c:ptCount val="1"/>
                <c:pt idx="0">
                  <c:v>Beauty</c:v>
                </c:pt>
              </c:strCache>
            </c:strRef>
          </c:tx>
          <c:spPr>
            <a:solidFill>
              <a:srgbClr val="4A122E"/>
            </a:solidFill>
            <a:ln>
              <a:noFill/>
            </a:ln>
            <a:effectLst/>
          </c:spPr>
          <c:invertIfNegative val="0"/>
          <c:cat>
            <c:strRef>
              <c:f>'Pivot Engine'!$A$126:$A$130</c:f>
              <c:strCache>
                <c:ptCount val="4"/>
                <c:pt idx="0">
                  <c:v>1 Item</c:v>
                </c:pt>
                <c:pt idx="1">
                  <c:v>2 Items</c:v>
                </c:pt>
                <c:pt idx="2">
                  <c:v>3 Items</c:v>
                </c:pt>
                <c:pt idx="3">
                  <c:v>4 Items</c:v>
                </c:pt>
              </c:strCache>
            </c:strRef>
          </c:cat>
          <c:val>
            <c:numRef>
              <c:f>'Pivot Engine'!$B$126:$B$130</c:f>
              <c:numCache>
                <c:formatCode>"$"#,##0</c:formatCode>
                <c:ptCount val="4"/>
                <c:pt idx="0">
                  <c:v>11730</c:v>
                </c:pt>
                <c:pt idx="1">
                  <c:v>29930</c:v>
                </c:pt>
                <c:pt idx="2">
                  <c:v>52155</c:v>
                </c:pt>
                <c:pt idx="3">
                  <c:v>49700</c:v>
                </c:pt>
              </c:numCache>
            </c:numRef>
          </c:val>
          <c:extLst>
            <c:ext xmlns:c16="http://schemas.microsoft.com/office/drawing/2014/chart" uri="{C3380CC4-5D6E-409C-BE32-E72D297353CC}">
              <c16:uniqueId val="{00000000-5ADE-4DF5-8F39-37114D58F437}"/>
            </c:ext>
          </c:extLst>
        </c:ser>
        <c:ser>
          <c:idx val="1"/>
          <c:order val="1"/>
          <c:tx>
            <c:strRef>
              <c:f>'Pivot Engine'!$C$124:$C$125</c:f>
              <c:strCache>
                <c:ptCount val="1"/>
                <c:pt idx="0">
                  <c:v>Clothing</c:v>
                </c:pt>
              </c:strCache>
            </c:strRef>
          </c:tx>
          <c:spPr>
            <a:solidFill>
              <a:srgbClr val="D69E2E"/>
            </a:solidFill>
            <a:ln>
              <a:noFill/>
            </a:ln>
            <a:effectLst/>
          </c:spPr>
          <c:invertIfNegative val="0"/>
          <c:cat>
            <c:strRef>
              <c:f>'Pivot Engine'!$A$126:$A$130</c:f>
              <c:strCache>
                <c:ptCount val="4"/>
                <c:pt idx="0">
                  <c:v>1 Item</c:v>
                </c:pt>
                <c:pt idx="1">
                  <c:v>2 Items</c:v>
                </c:pt>
                <c:pt idx="2">
                  <c:v>3 Items</c:v>
                </c:pt>
                <c:pt idx="3">
                  <c:v>4 Items</c:v>
                </c:pt>
              </c:strCache>
            </c:strRef>
          </c:cat>
          <c:val>
            <c:numRef>
              <c:f>'Pivot Engine'!$C$126:$C$130</c:f>
              <c:numCache>
                <c:formatCode>"$"#,##0</c:formatCode>
                <c:ptCount val="4"/>
                <c:pt idx="0">
                  <c:v>16115</c:v>
                </c:pt>
                <c:pt idx="1">
                  <c:v>24670</c:v>
                </c:pt>
                <c:pt idx="2">
                  <c:v>48315</c:v>
                </c:pt>
                <c:pt idx="3">
                  <c:v>66480</c:v>
                </c:pt>
              </c:numCache>
            </c:numRef>
          </c:val>
          <c:extLst>
            <c:ext xmlns:c16="http://schemas.microsoft.com/office/drawing/2014/chart" uri="{C3380CC4-5D6E-409C-BE32-E72D297353CC}">
              <c16:uniqueId val="{00000001-5ADE-4DF5-8F39-37114D58F437}"/>
            </c:ext>
          </c:extLst>
        </c:ser>
        <c:ser>
          <c:idx val="2"/>
          <c:order val="2"/>
          <c:tx>
            <c:strRef>
              <c:f>'Pivot Engine'!$D$124:$D$125</c:f>
              <c:strCache>
                <c:ptCount val="1"/>
                <c:pt idx="0">
                  <c:v>Electronics</c:v>
                </c:pt>
              </c:strCache>
            </c:strRef>
          </c:tx>
          <c:spPr>
            <a:solidFill>
              <a:schemeClr val="bg2">
                <a:lumMod val="50000"/>
              </a:schemeClr>
            </a:solidFill>
            <a:ln>
              <a:noFill/>
            </a:ln>
            <a:effectLst/>
          </c:spPr>
          <c:invertIfNegative val="0"/>
          <c:cat>
            <c:strRef>
              <c:f>'Pivot Engine'!$A$126:$A$130</c:f>
              <c:strCache>
                <c:ptCount val="4"/>
                <c:pt idx="0">
                  <c:v>1 Item</c:v>
                </c:pt>
                <c:pt idx="1">
                  <c:v>2 Items</c:v>
                </c:pt>
                <c:pt idx="2">
                  <c:v>3 Items</c:v>
                </c:pt>
                <c:pt idx="3">
                  <c:v>4 Items</c:v>
                </c:pt>
              </c:strCache>
            </c:strRef>
          </c:cat>
          <c:val>
            <c:numRef>
              <c:f>'Pivot Engine'!$D$126:$D$130</c:f>
              <c:numCache>
                <c:formatCode>"$"#,##0</c:formatCode>
                <c:ptCount val="4"/>
                <c:pt idx="0">
                  <c:v>16960</c:v>
                </c:pt>
                <c:pt idx="1">
                  <c:v>26450</c:v>
                </c:pt>
                <c:pt idx="2">
                  <c:v>43815</c:v>
                </c:pt>
                <c:pt idx="3">
                  <c:v>69680</c:v>
                </c:pt>
              </c:numCache>
            </c:numRef>
          </c:val>
          <c:extLst>
            <c:ext xmlns:c16="http://schemas.microsoft.com/office/drawing/2014/chart" uri="{C3380CC4-5D6E-409C-BE32-E72D297353CC}">
              <c16:uniqueId val="{00000002-5ADE-4DF5-8F39-37114D58F437}"/>
            </c:ext>
          </c:extLst>
        </c:ser>
        <c:dLbls>
          <c:showLegendKey val="0"/>
          <c:showVal val="0"/>
          <c:showCatName val="0"/>
          <c:showSerName val="0"/>
          <c:showPercent val="0"/>
          <c:showBubbleSize val="0"/>
        </c:dLbls>
        <c:gapWidth val="219"/>
        <c:overlap val="-27"/>
        <c:axId val="1291418623"/>
        <c:axId val="1408128143"/>
      </c:barChart>
      <c:catAx>
        <c:axId val="129141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28143"/>
        <c:crosses val="autoZero"/>
        <c:auto val="1"/>
        <c:lblAlgn val="ctr"/>
        <c:lblOffset val="100"/>
        <c:noMultiLvlLbl val="0"/>
      </c:catAx>
      <c:valAx>
        <c:axId val="14081281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418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Segoe UI" panose="020B0502040204020203" pitchFamily="34" charset="0"/>
                <a:cs typeface="Segoe UI" panose="020B0502040204020203" pitchFamily="34" charset="0"/>
              </a:rPr>
              <a:t>Customer Spending Trends: Gender &amp; Age</a:t>
            </a:r>
            <a:endParaRPr lang="en-US"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Engine'!$B$3:$B$5</c:f>
              <c:strCache>
                <c:ptCount val="1"/>
                <c:pt idx="0">
                  <c:v>Beauty - Total Revenue</c:v>
                </c:pt>
              </c:strCache>
            </c:strRef>
          </c:tx>
          <c:spPr>
            <a:solidFill>
              <a:srgbClr val="4A122E"/>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Engine'!$B$6:$B$14</c:f>
              <c:numCache>
                <c:formatCode>"$"#,##0</c:formatCode>
                <c:ptCount val="6"/>
                <c:pt idx="0">
                  <c:v>32185</c:v>
                </c:pt>
                <c:pt idx="1">
                  <c:v>24235</c:v>
                </c:pt>
                <c:pt idx="2">
                  <c:v>18410</c:v>
                </c:pt>
                <c:pt idx="3">
                  <c:v>30335</c:v>
                </c:pt>
                <c:pt idx="4">
                  <c:v>24875</c:v>
                </c:pt>
                <c:pt idx="5">
                  <c:v>13475</c:v>
                </c:pt>
              </c:numCache>
            </c:numRef>
          </c:val>
          <c:extLst>
            <c:ext xmlns:c16="http://schemas.microsoft.com/office/drawing/2014/chart" uri="{C3380CC4-5D6E-409C-BE32-E72D297353CC}">
              <c16:uniqueId val="{00000000-E1EF-45CD-B892-E5D9041D8427}"/>
            </c:ext>
          </c:extLst>
        </c:ser>
        <c:ser>
          <c:idx val="2"/>
          <c:order val="2"/>
          <c:tx>
            <c:strRef>
              <c:f>'Pivot Engine'!$D$3:$D$5</c:f>
              <c:strCache>
                <c:ptCount val="1"/>
                <c:pt idx="0">
                  <c:v>Clothing - Total Revenue</c:v>
                </c:pt>
              </c:strCache>
            </c:strRef>
          </c:tx>
          <c:spPr>
            <a:solidFill>
              <a:srgbClr val="D69E2E"/>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Engine'!$D$6:$D$14</c:f>
              <c:numCache>
                <c:formatCode>"$"#,##0</c:formatCode>
                <c:ptCount val="6"/>
                <c:pt idx="0">
                  <c:v>31145</c:v>
                </c:pt>
                <c:pt idx="1">
                  <c:v>25345</c:v>
                </c:pt>
                <c:pt idx="2">
                  <c:v>24785</c:v>
                </c:pt>
                <c:pt idx="3">
                  <c:v>35340</c:v>
                </c:pt>
                <c:pt idx="4">
                  <c:v>17630</c:v>
                </c:pt>
                <c:pt idx="5">
                  <c:v>21335</c:v>
                </c:pt>
              </c:numCache>
            </c:numRef>
          </c:val>
          <c:extLst>
            <c:ext xmlns:c16="http://schemas.microsoft.com/office/drawing/2014/chart" uri="{C3380CC4-5D6E-409C-BE32-E72D297353CC}">
              <c16:uniqueId val="{00000001-E1EF-45CD-B892-E5D9041D8427}"/>
            </c:ext>
          </c:extLst>
        </c:ser>
        <c:ser>
          <c:idx val="4"/>
          <c:order val="4"/>
          <c:tx>
            <c:strRef>
              <c:f>'Pivot Engine'!$F$3:$F$5</c:f>
              <c:strCache>
                <c:ptCount val="1"/>
                <c:pt idx="0">
                  <c:v>Electronics - Total Revenue</c:v>
                </c:pt>
              </c:strCache>
            </c:strRef>
          </c:tx>
          <c:spPr>
            <a:solidFill>
              <a:schemeClr val="bg2">
                <a:lumMod val="50000"/>
              </a:schemeClr>
            </a:solidFill>
            <a:ln>
              <a:noFill/>
            </a:ln>
            <a:effectLst/>
          </c:spPr>
          <c:invertIfNegative val="0"/>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Engine'!$F$6:$F$14</c:f>
              <c:numCache>
                <c:formatCode>"$"#,##0</c:formatCode>
                <c:ptCount val="6"/>
                <c:pt idx="0">
                  <c:v>31255</c:v>
                </c:pt>
                <c:pt idx="1">
                  <c:v>21210</c:v>
                </c:pt>
                <c:pt idx="2">
                  <c:v>24270</c:v>
                </c:pt>
                <c:pt idx="3">
                  <c:v>22770</c:v>
                </c:pt>
                <c:pt idx="4">
                  <c:v>26365</c:v>
                </c:pt>
                <c:pt idx="5">
                  <c:v>31035</c:v>
                </c:pt>
              </c:numCache>
            </c:numRef>
          </c:val>
          <c:extLst>
            <c:ext xmlns:c16="http://schemas.microsoft.com/office/drawing/2014/chart" uri="{C3380CC4-5D6E-409C-BE32-E72D297353CC}">
              <c16:uniqueId val="{00000002-E1EF-45CD-B892-E5D9041D8427}"/>
            </c:ext>
          </c:extLst>
        </c:ser>
        <c:dLbls>
          <c:showLegendKey val="0"/>
          <c:showVal val="0"/>
          <c:showCatName val="0"/>
          <c:showSerName val="0"/>
          <c:showPercent val="0"/>
          <c:showBubbleSize val="0"/>
        </c:dLbls>
        <c:gapWidth val="219"/>
        <c:axId val="1259334447"/>
        <c:axId val="1116668815"/>
      </c:barChart>
      <c:lineChart>
        <c:grouping val="standard"/>
        <c:varyColors val="0"/>
        <c:ser>
          <c:idx val="1"/>
          <c:order val="1"/>
          <c:tx>
            <c:strRef>
              <c:f>'Pivot Engine'!$C$3:$C$5</c:f>
              <c:strCache>
                <c:ptCount val="1"/>
                <c:pt idx="0">
                  <c:v>Beauty - Average Revenue</c:v>
                </c:pt>
              </c:strCache>
            </c:strRef>
          </c:tx>
          <c:spPr>
            <a:ln w="28575" cap="rnd">
              <a:solidFill>
                <a:schemeClr val="accent4"/>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Engine'!$C$6:$C$14</c:f>
              <c:numCache>
                <c:formatCode>"$"#,##0</c:formatCode>
                <c:ptCount val="6"/>
                <c:pt idx="0">
                  <c:v>473.30882352941177</c:v>
                </c:pt>
                <c:pt idx="1">
                  <c:v>494.59183673469386</c:v>
                </c:pt>
                <c:pt idx="2">
                  <c:v>375.71428571428572</c:v>
                </c:pt>
                <c:pt idx="3">
                  <c:v>514.15254237288138</c:v>
                </c:pt>
                <c:pt idx="4">
                  <c:v>578.48837209302326</c:v>
                </c:pt>
                <c:pt idx="5">
                  <c:v>345.5128205128205</c:v>
                </c:pt>
              </c:numCache>
            </c:numRef>
          </c:val>
          <c:smooth val="0"/>
          <c:extLst>
            <c:ext xmlns:c16="http://schemas.microsoft.com/office/drawing/2014/chart" uri="{C3380CC4-5D6E-409C-BE32-E72D297353CC}">
              <c16:uniqueId val="{00000003-E1EF-45CD-B892-E5D9041D8427}"/>
            </c:ext>
          </c:extLst>
        </c:ser>
        <c:ser>
          <c:idx val="3"/>
          <c:order val="3"/>
          <c:tx>
            <c:strRef>
              <c:f>'Pivot Engine'!$E$3:$E$5</c:f>
              <c:strCache>
                <c:ptCount val="1"/>
                <c:pt idx="0">
                  <c:v>Clothing - Average Revenue</c:v>
                </c:pt>
              </c:strCache>
            </c:strRef>
          </c:tx>
          <c:spPr>
            <a:ln w="28575" cap="rnd">
              <a:solidFill>
                <a:schemeClr val="accent2">
                  <a:lumMod val="60000"/>
                </a:schemeClr>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Engine'!$E$6:$E$14</c:f>
              <c:numCache>
                <c:formatCode>"$"#,##0</c:formatCode>
                <c:ptCount val="6"/>
                <c:pt idx="0">
                  <c:v>587.64150943396226</c:v>
                </c:pt>
                <c:pt idx="1">
                  <c:v>408.79032258064518</c:v>
                </c:pt>
                <c:pt idx="2">
                  <c:v>420.08474576271186</c:v>
                </c:pt>
                <c:pt idx="3">
                  <c:v>490.83333333333331</c:v>
                </c:pt>
                <c:pt idx="4">
                  <c:v>345.68627450980392</c:v>
                </c:pt>
                <c:pt idx="5">
                  <c:v>395.09259259259261</c:v>
                </c:pt>
              </c:numCache>
            </c:numRef>
          </c:val>
          <c:smooth val="0"/>
          <c:extLst>
            <c:ext xmlns:c16="http://schemas.microsoft.com/office/drawing/2014/chart" uri="{C3380CC4-5D6E-409C-BE32-E72D297353CC}">
              <c16:uniqueId val="{00000004-E1EF-45CD-B892-E5D9041D8427}"/>
            </c:ext>
          </c:extLst>
        </c:ser>
        <c:ser>
          <c:idx val="5"/>
          <c:order val="5"/>
          <c:tx>
            <c:strRef>
              <c:f>'Pivot Engine'!$G$3:$G$5</c:f>
              <c:strCache>
                <c:ptCount val="1"/>
                <c:pt idx="0">
                  <c:v>Electronics - Average Revenue</c:v>
                </c:pt>
              </c:strCache>
            </c:strRef>
          </c:tx>
          <c:spPr>
            <a:ln w="28575" cap="rnd">
              <a:solidFill>
                <a:schemeClr val="accent6">
                  <a:lumMod val="60000"/>
                </a:schemeClr>
              </a:solidFill>
              <a:round/>
            </a:ln>
            <a:effectLst/>
          </c:spPr>
          <c:marker>
            <c:symbol val="none"/>
          </c:marker>
          <c:cat>
            <c:multiLvlStrRef>
              <c:f>'Pivot Engine'!$A$6:$A$14</c:f>
              <c:multiLvlStrCache>
                <c:ptCount val="6"/>
                <c:lvl>
                  <c:pt idx="0">
                    <c:v>18-35</c:v>
                  </c:pt>
                  <c:pt idx="1">
                    <c:v>36-50</c:v>
                  </c:pt>
                  <c:pt idx="2">
                    <c:v>51-65</c:v>
                  </c:pt>
                  <c:pt idx="3">
                    <c:v>18-35</c:v>
                  </c:pt>
                  <c:pt idx="4">
                    <c:v>36-50</c:v>
                  </c:pt>
                  <c:pt idx="5">
                    <c:v>51-65</c:v>
                  </c:pt>
                </c:lvl>
                <c:lvl>
                  <c:pt idx="0">
                    <c:v>Female</c:v>
                  </c:pt>
                  <c:pt idx="3">
                    <c:v>Male</c:v>
                  </c:pt>
                </c:lvl>
              </c:multiLvlStrCache>
            </c:multiLvlStrRef>
          </c:cat>
          <c:val>
            <c:numRef>
              <c:f>'Pivot Engine'!$G$6:$G$14</c:f>
              <c:numCache>
                <c:formatCode>"$"#,##0</c:formatCode>
                <c:ptCount val="6"/>
                <c:pt idx="0">
                  <c:v>466.49253731343282</c:v>
                </c:pt>
                <c:pt idx="1">
                  <c:v>400.18867924528303</c:v>
                </c:pt>
                <c:pt idx="2">
                  <c:v>485.4</c:v>
                </c:pt>
                <c:pt idx="3">
                  <c:v>414</c:v>
                </c:pt>
                <c:pt idx="4">
                  <c:v>479.36363636363637</c:v>
                </c:pt>
                <c:pt idx="5">
                  <c:v>500.56451612903226</c:v>
                </c:pt>
              </c:numCache>
            </c:numRef>
          </c:val>
          <c:smooth val="0"/>
          <c:extLst>
            <c:ext xmlns:c16="http://schemas.microsoft.com/office/drawing/2014/chart" uri="{C3380CC4-5D6E-409C-BE32-E72D297353CC}">
              <c16:uniqueId val="{00000005-E1EF-45CD-B892-E5D9041D8427}"/>
            </c:ext>
          </c:extLst>
        </c:ser>
        <c:dLbls>
          <c:showLegendKey val="0"/>
          <c:showVal val="0"/>
          <c:showCatName val="0"/>
          <c:showSerName val="0"/>
          <c:showPercent val="0"/>
          <c:showBubbleSize val="0"/>
        </c:dLbls>
        <c:marker val="1"/>
        <c:smooth val="0"/>
        <c:axId val="1284438975"/>
        <c:axId val="1116670255"/>
      </c:lineChart>
      <c:catAx>
        <c:axId val="125933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6668815"/>
        <c:crosses val="autoZero"/>
        <c:auto val="1"/>
        <c:lblAlgn val="ctr"/>
        <c:lblOffset val="100"/>
        <c:noMultiLvlLbl val="0"/>
      </c:catAx>
      <c:valAx>
        <c:axId val="1116668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9334447"/>
        <c:crosses val="autoZero"/>
        <c:crossBetween val="between"/>
      </c:valAx>
      <c:valAx>
        <c:axId val="111667025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4438975"/>
        <c:crosses val="max"/>
        <c:crossBetween val="between"/>
      </c:valAx>
      <c:catAx>
        <c:axId val="1284438975"/>
        <c:scaling>
          <c:orientation val="minMax"/>
        </c:scaling>
        <c:delete val="1"/>
        <c:axPos val="b"/>
        <c:numFmt formatCode="General" sourceLinked="1"/>
        <c:majorTickMark val="out"/>
        <c:minorTickMark val="none"/>
        <c:tickLblPos val="nextTo"/>
        <c:crossAx val="1116670255"/>
        <c:crosses val="autoZero"/>
        <c:auto val="1"/>
        <c:lblAlgn val="ctr"/>
        <c:lblOffset val="100"/>
        <c:noMultiLvlLbl val="0"/>
      </c:catAx>
      <c:spPr>
        <a:noFill/>
        <a:ln>
          <a:noFill/>
        </a:ln>
        <a:effectLst/>
      </c:spPr>
    </c:plotArea>
    <c:legend>
      <c:legendPos val="r"/>
      <c:layout>
        <c:manualLayout>
          <c:xMode val="edge"/>
          <c:yMode val="edge"/>
          <c:x val="0.66961499444471284"/>
          <c:y val="0.22348079749084293"/>
          <c:w val="0.31198009757982709"/>
          <c:h val="0.69922224902945629"/>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[Retail-Sales-Dashboard.xlsx]Pivot Engine!PivotTable2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Over</a:t>
            </a:r>
            <a:r>
              <a:rPr lang="en-US" b="1" baseline="0">
                <a:solidFill>
                  <a:schemeClr val="tx1"/>
                </a:solidFill>
              </a:rPr>
              <a:t> T</a:t>
            </a:r>
            <a:r>
              <a:rPr lang="en-US" b="1">
                <a:solidFill>
                  <a:schemeClr val="tx1"/>
                </a:solidFill>
              </a:rPr>
              <a: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pivotFmt>
    </c:pivotFmts>
    <c:plotArea>
      <c:layout/>
      <c:lineChart>
        <c:grouping val="standard"/>
        <c:varyColors val="0"/>
        <c:ser>
          <c:idx val="0"/>
          <c:order val="0"/>
          <c:tx>
            <c:strRef>
              <c:f>'Pivot Engine'!$B$37</c:f>
              <c:strCache>
                <c:ptCount val="1"/>
                <c:pt idx="0">
                  <c:v>Total</c:v>
                </c:pt>
              </c:strCache>
            </c:strRef>
          </c:tx>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cat>
            <c:multiLvlStrRef>
              <c:f>'Pivot Engine'!$A$38:$A$58</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Qtr1</c:v>
                  </c:pt>
                  <c:pt idx="3">
                    <c:v>Qtr2</c:v>
                  </c:pt>
                  <c:pt idx="6">
                    <c:v>Qtr3</c:v>
                  </c:pt>
                  <c:pt idx="9">
                    <c:v>Qtr4</c:v>
                  </c:pt>
                  <c:pt idx="12">
                    <c:v>Qtr1</c:v>
                  </c:pt>
                </c:lvl>
                <c:lvl>
                  <c:pt idx="0">
                    <c:v>2023</c:v>
                  </c:pt>
                  <c:pt idx="12">
                    <c:v>2024</c:v>
                  </c:pt>
                </c:lvl>
              </c:multiLvlStrCache>
            </c:multiLvlStrRef>
          </c:cat>
          <c:val>
            <c:numRef>
              <c:f>'Pivot Engine'!$B$38:$B$58</c:f>
              <c:numCache>
                <c:formatCode>"$"#,##0</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3C54-49A4-AB8C-48AD23A1B8F7}"/>
            </c:ext>
          </c:extLst>
        </c:ser>
        <c:dLbls>
          <c:showLegendKey val="0"/>
          <c:showVal val="0"/>
          <c:showCatName val="0"/>
          <c:showSerName val="0"/>
          <c:showPercent val="0"/>
          <c:showBubbleSize val="0"/>
        </c:dLbls>
        <c:marker val="1"/>
        <c:smooth val="0"/>
        <c:axId val="1284437583"/>
        <c:axId val="1116660655"/>
      </c:lineChart>
      <c:catAx>
        <c:axId val="12844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6660655"/>
        <c:crosses val="autoZero"/>
        <c:auto val="1"/>
        <c:lblAlgn val="ctr"/>
        <c:lblOffset val="100"/>
        <c:noMultiLvlLbl val="0"/>
      </c:catAx>
      <c:valAx>
        <c:axId val="11166606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443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[Retail-Sales-Dashboard.xlsx]Pivot Engine!PivotTable3</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Category By Quantity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122E"/>
          </a:solidFill>
          <a:ln>
            <a:noFill/>
          </a:ln>
          <a:effectLst/>
        </c:spPr>
      </c:pivotFmt>
      <c:pivotFmt>
        <c:idx val="4"/>
        <c:spPr>
          <a:solidFill>
            <a:srgbClr val="D69E2E"/>
          </a:solidFill>
          <a:ln>
            <a:noFill/>
          </a:ln>
          <a:effectLst/>
        </c:spPr>
      </c:pivotFmt>
      <c:pivotFmt>
        <c:idx val="5"/>
        <c:spPr>
          <a:solidFill>
            <a:schemeClr val="bg2">
              <a:lumMod val="50000"/>
            </a:schemeClr>
          </a:solidFill>
          <a:ln>
            <a:noFill/>
          </a:ln>
          <a:effectLst/>
        </c:spPr>
      </c:pivotFmt>
    </c:pivotFmts>
    <c:plotArea>
      <c:layout/>
      <c:barChart>
        <c:barDir val="col"/>
        <c:grouping val="clustered"/>
        <c:varyColors val="0"/>
        <c:ser>
          <c:idx val="0"/>
          <c:order val="0"/>
          <c:tx>
            <c:strRef>
              <c:f>'Pivot Engine'!$B$63</c:f>
              <c:strCache>
                <c:ptCount val="1"/>
                <c:pt idx="0">
                  <c:v>Total</c:v>
                </c:pt>
              </c:strCache>
            </c:strRef>
          </c:tx>
          <c:spPr>
            <a:solidFill>
              <a:schemeClr val="accent4"/>
            </a:solidFill>
            <a:ln>
              <a:noFill/>
            </a:ln>
            <a:effectLst/>
          </c:spPr>
          <c:invertIfNegative val="0"/>
          <c:dPt>
            <c:idx val="0"/>
            <c:invertIfNegative val="0"/>
            <c:bubble3D val="0"/>
            <c:spPr>
              <a:solidFill>
                <a:srgbClr val="4A122E"/>
              </a:solidFill>
              <a:ln>
                <a:noFill/>
              </a:ln>
              <a:effectLst/>
            </c:spPr>
            <c:extLst>
              <c:ext xmlns:c16="http://schemas.microsoft.com/office/drawing/2014/chart" uri="{C3380CC4-5D6E-409C-BE32-E72D297353CC}">
                <c16:uniqueId val="{00000001-9667-4687-81F5-32D491778A85}"/>
              </c:ext>
            </c:extLst>
          </c:dPt>
          <c:dPt>
            <c:idx val="1"/>
            <c:invertIfNegative val="0"/>
            <c:bubble3D val="0"/>
            <c:spPr>
              <a:solidFill>
                <a:srgbClr val="D69E2E"/>
              </a:solidFill>
              <a:ln>
                <a:noFill/>
              </a:ln>
              <a:effectLst/>
            </c:spPr>
            <c:extLst>
              <c:ext xmlns:c16="http://schemas.microsoft.com/office/drawing/2014/chart" uri="{C3380CC4-5D6E-409C-BE32-E72D297353CC}">
                <c16:uniqueId val="{00000002-9667-4687-81F5-32D491778A85}"/>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9667-4687-81F5-32D491778A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Engine'!$A$64:$A$67</c:f>
              <c:strCache>
                <c:ptCount val="3"/>
                <c:pt idx="0">
                  <c:v>Beauty</c:v>
                </c:pt>
                <c:pt idx="1">
                  <c:v>Clothing</c:v>
                </c:pt>
                <c:pt idx="2">
                  <c:v>Electronics</c:v>
                </c:pt>
              </c:strCache>
            </c:strRef>
          </c:cat>
          <c:val>
            <c:numRef>
              <c:f>'Pivot Engine'!$B$64:$B$67</c:f>
              <c:numCache>
                <c:formatCode>General</c:formatCode>
                <c:ptCount val="3"/>
                <c:pt idx="0">
                  <c:v>771</c:v>
                </c:pt>
                <c:pt idx="1">
                  <c:v>894</c:v>
                </c:pt>
                <c:pt idx="2">
                  <c:v>849</c:v>
                </c:pt>
              </c:numCache>
            </c:numRef>
          </c:val>
          <c:extLst>
            <c:ext xmlns:c16="http://schemas.microsoft.com/office/drawing/2014/chart" uri="{C3380CC4-5D6E-409C-BE32-E72D297353CC}">
              <c16:uniqueId val="{00000000-9667-4687-81F5-32D491778A85}"/>
            </c:ext>
          </c:extLst>
        </c:ser>
        <c:dLbls>
          <c:dLblPos val="outEnd"/>
          <c:showLegendKey val="0"/>
          <c:showVal val="1"/>
          <c:showCatName val="0"/>
          <c:showSerName val="0"/>
          <c:showPercent val="0"/>
          <c:showBubbleSize val="0"/>
        </c:dLbls>
        <c:gapWidth val="219"/>
        <c:overlap val="-27"/>
        <c:axId val="1405657343"/>
        <c:axId val="1408042703"/>
      </c:barChart>
      <c:catAx>
        <c:axId val="14056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042703"/>
        <c:crosses val="autoZero"/>
        <c:auto val="1"/>
        <c:lblAlgn val="ctr"/>
        <c:lblOffset val="100"/>
        <c:noMultiLvlLbl val="0"/>
      </c:catAx>
      <c:valAx>
        <c:axId val="1408042703"/>
        <c:scaling>
          <c:orientation val="minMax"/>
        </c:scaling>
        <c:delete val="1"/>
        <c:axPos val="l"/>
        <c:numFmt formatCode="General" sourceLinked="1"/>
        <c:majorTickMark val="out"/>
        <c:minorTickMark val="none"/>
        <c:tickLblPos val="nextTo"/>
        <c:crossAx val="140565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Engine!PivotTable4</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Spending</a:t>
            </a:r>
            <a:r>
              <a:rPr lang="en-US" b="1" baseline="0">
                <a:solidFill>
                  <a:schemeClr val="tx1"/>
                </a:solidFill>
              </a:rPr>
              <a:t> Preferences By Age Group and Product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Engine'!$B$80:$B$81</c:f>
              <c:strCache>
                <c:ptCount val="1"/>
                <c:pt idx="0">
                  <c:v>Beauty</c:v>
                </c:pt>
              </c:strCache>
            </c:strRef>
          </c:tx>
          <c:spPr>
            <a:solidFill>
              <a:srgbClr val="4A12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Engine'!$B$82:$B$85</c:f>
              <c:numCache>
                <c:formatCode>"$"#,##0</c:formatCode>
                <c:ptCount val="3"/>
                <c:pt idx="0">
                  <c:v>492.28346456692913</c:v>
                </c:pt>
                <c:pt idx="1">
                  <c:v>533.804347826087</c:v>
                </c:pt>
                <c:pt idx="2">
                  <c:v>362.32954545454544</c:v>
                </c:pt>
              </c:numCache>
            </c:numRef>
          </c:val>
          <c:extLst>
            <c:ext xmlns:c16="http://schemas.microsoft.com/office/drawing/2014/chart" uri="{C3380CC4-5D6E-409C-BE32-E72D297353CC}">
              <c16:uniqueId val="{00000000-10D4-4418-910E-AEA1C479E239}"/>
            </c:ext>
          </c:extLst>
        </c:ser>
        <c:ser>
          <c:idx val="1"/>
          <c:order val="1"/>
          <c:tx>
            <c:strRef>
              <c:f>'Pivot Engine'!$C$80:$C$81</c:f>
              <c:strCache>
                <c:ptCount val="1"/>
                <c:pt idx="0">
                  <c:v>Clothing</c:v>
                </c:pt>
              </c:strCache>
            </c:strRef>
          </c:tx>
          <c:spPr>
            <a:solidFill>
              <a:srgbClr val="D69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Engine'!$C$82:$C$85</c:f>
              <c:numCache>
                <c:formatCode>"$"#,##0</c:formatCode>
                <c:ptCount val="3"/>
                <c:pt idx="0">
                  <c:v>531.88</c:v>
                </c:pt>
                <c:pt idx="1">
                  <c:v>380.30973451327435</c:v>
                </c:pt>
                <c:pt idx="2">
                  <c:v>408.14159292035396</c:v>
                </c:pt>
              </c:numCache>
            </c:numRef>
          </c:val>
          <c:extLst>
            <c:ext xmlns:c16="http://schemas.microsoft.com/office/drawing/2014/chart" uri="{C3380CC4-5D6E-409C-BE32-E72D297353CC}">
              <c16:uniqueId val="{00000001-10D4-4418-910E-AEA1C479E239}"/>
            </c:ext>
          </c:extLst>
        </c:ser>
        <c:ser>
          <c:idx val="2"/>
          <c:order val="2"/>
          <c:tx>
            <c:strRef>
              <c:f>'Pivot Engine'!$D$80:$D$81</c:f>
              <c:strCache>
                <c:ptCount val="1"/>
                <c:pt idx="0">
                  <c:v>Electronics</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Engine'!$A$82:$A$85</c:f>
              <c:strCache>
                <c:ptCount val="3"/>
                <c:pt idx="0">
                  <c:v>18-35</c:v>
                </c:pt>
                <c:pt idx="1">
                  <c:v>36-50</c:v>
                </c:pt>
                <c:pt idx="2">
                  <c:v>51-65</c:v>
                </c:pt>
              </c:strCache>
            </c:strRef>
          </c:cat>
          <c:val>
            <c:numRef>
              <c:f>'Pivot Engine'!$D$82:$D$85</c:f>
              <c:numCache>
                <c:formatCode>"$"#,##0</c:formatCode>
                <c:ptCount val="3"/>
                <c:pt idx="0">
                  <c:v>442.82786885245901</c:v>
                </c:pt>
                <c:pt idx="1">
                  <c:v>440.50925925925924</c:v>
                </c:pt>
                <c:pt idx="2">
                  <c:v>493.79464285714283</c:v>
                </c:pt>
              </c:numCache>
            </c:numRef>
          </c:val>
          <c:extLst>
            <c:ext xmlns:c16="http://schemas.microsoft.com/office/drawing/2014/chart" uri="{C3380CC4-5D6E-409C-BE32-E72D297353CC}">
              <c16:uniqueId val="{00000002-10D4-4418-910E-AEA1C479E239}"/>
            </c:ext>
          </c:extLst>
        </c:ser>
        <c:dLbls>
          <c:dLblPos val="outEnd"/>
          <c:showLegendKey val="0"/>
          <c:showVal val="1"/>
          <c:showCatName val="0"/>
          <c:showSerName val="0"/>
          <c:showPercent val="0"/>
          <c:showBubbleSize val="0"/>
        </c:dLbls>
        <c:gapWidth val="219"/>
        <c:overlap val="-27"/>
        <c:axId val="1276428383"/>
        <c:axId val="1408030703"/>
      </c:barChart>
      <c:catAx>
        <c:axId val="12764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030703"/>
        <c:crosses val="autoZero"/>
        <c:auto val="1"/>
        <c:lblAlgn val="ctr"/>
        <c:lblOffset val="100"/>
        <c:noMultiLvlLbl val="0"/>
      </c:catAx>
      <c:valAx>
        <c:axId val="1408030703"/>
        <c:scaling>
          <c:orientation val="minMax"/>
        </c:scaling>
        <c:delete val="1"/>
        <c:axPos val="l"/>
        <c:numFmt formatCode="&quot;$&quot;#,##0" sourceLinked="1"/>
        <c:majorTickMark val="none"/>
        <c:minorTickMark val="none"/>
        <c:tickLblPos val="nextTo"/>
        <c:crossAx val="127642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Engine!PivotTable5</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Shopping</a:t>
            </a:r>
            <a:r>
              <a:rPr lang="en-US" b="1" baseline="0">
                <a:solidFill>
                  <a:schemeClr val="tx1"/>
                </a:solidFill>
              </a:rPr>
              <a:t> Habits By Seasonal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Engine'!$B$106:$B$107</c:f>
              <c:strCache>
                <c:ptCount val="1"/>
                <c:pt idx="0">
                  <c:v>Beauty</c:v>
                </c:pt>
              </c:strCache>
            </c:strRef>
          </c:tx>
          <c:spPr>
            <a:solidFill>
              <a:srgbClr val="4A12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Engine'!$B$108:$B$115</c:f>
              <c:numCache>
                <c:formatCode>General</c:formatCode>
                <c:ptCount val="5"/>
                <c:pt idx="0">
                  <c:v>178</c:v>
                </c:pt>
                <c:pt idx="1">
                  <c:v>200</c:v>
                </c:pt>
                <c:pt idx="2">
                  <c:v>182</c:v>
                </c:pt>
                <c:pt idx="3">
                  <c:v>208</c:v>
                </c:pt>
                <c:pt idx="4">
                  <c:v>3</c:v>
                </c:pt>
              </c:numCache>
            </c:numRef>
          </c:val>
          <c:extLst>
            <c:ext xmlns:c16="http://schemas.microsoft.com/office/drawing/2014/chart" uri="{C3380CC4-5D6E-409C-BE32-E72D297353CC}">
              <c16:uniqueId val="{00000000-D0E9-4467-872C-EDC189312720}"/>
            </c:ext>
          </c:extLst>
        </c:ser>
        <c:ser>
          <c:idx val="1"/>
          <c:order val="1"/>
          <c:tx>
            <c:strRef>
              <c:f>'Pivot Engine'!$C$106:$C$107</c:f>
              <c:strCache>
                <c:ptCount val="1"/>
                <c:pt idx="0">
                  <c:v>Clothing</c:v>
                </c:pt>
              </c:strCache>
            </c:strRef>
          </c:tx>
          <c:spPr>
            <a:solidFill>
              <a:srgbClr val="D69E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Engine'!$C$108:$C$115</c:f>
              <c:numCache>
                <c:formatCode>General</c:formatCode>
                <c:ptCount val="5"/>
                <c:pt idx="0">
                  <c:v>258</c:v>
                </c:pt>
                <c:pt idx="1">
                  <c:v>257</c:v>
                </c:pt>
                <c:pt idx="2">
                  <c:v>183</c:v>
                </c:pt>
                <c:pt idx="3">
                  <c:v>196</c:v>
                </c:pt>
              </c:numCache>
            </c:numRef>
          </c:val>
          <c:extLst>
            <c:ext xmlns:c16="http://schemas.microsoft.com/office/drawing/2014/chart" uri="{C3380CC4-5D6E-409C-BE32-E72D297353CC}">
              <c16:uniqueId val="{00000001-D0E9-4467-872C-EDC189312720}"/>
            </c:ext>
          </c:extLst>
        </c:ser>
        <c:ser>
          <c:idx val="2"/>
          <c:order val="2"/>
          <c:tx>
            <c:strRef>
              <c:f>'Pivot Engine'!$D$106:$D$107</c:f>
              <c:strCache>
                <c:ptCount val="1"/>
                <c:pt idx="0">
                  <c:v>Electronics</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Engine'!$A$108:$A$115</c:f>
              <c:multiLvlStrCache>
                <c:ptCount val="5"/>
                <c:lvl>
                  <c:pt idx="0">
                    <c:v>Qtr1</c:v>
                  </c:pt>
                  <c:pt idx="1">
                    <c:v>Qtr2</c:v>
                  </c:pt>
                  <c:pt idx="2">
                    <c:v>Qtr3</c:v>
                  </c:pt>
                  <c:pt idx="3">
                    <c:v>Qtr4</c:v>
                  </c:pt>
                  <c:pt idx="4">
                    <c:v>Qtr1</c:v>
                  </c:pt>
                </c:lvl>
                <c:lvl>
                  <c:pt idx="0">
                    <c:v>2023</c:v>
                  </c:pt>
                  <c:pt idx="4">
                    <c:v>2024</c:v>
                  </c:pt>
                </c:lvl>
              </c:multiLvlStrCache>
            </c:multiLvlStrRef>
          </c:cat>
          <c:val>
            <c:numRef>
              <c:f>'Pivot Engine'!$D$108:$D$115</c:f>
              <c:numCache>
                <c:formatCode>General</c:formatCode>
                <c:ptCount val="5"/>
                <c:pt idx="0">
                  <c:v>167</c:v>
                </c:pt>
                <c:pt idx="1">
                  <c:v>213</c:v>
                </c:pt>
                <c:pt idx="2">
                  <c:v>208</c:v>
                </c:pt>
                <c:pt idx="3">
                  <c:v>260</c:v>
                </c:pt>
                <c:pt idx="4">
                  <c:v>1</c:v>
                </c:pt>
              </c:numCache>
            </c:numRef>
          </c:val>
          <c:extLst>
            <c:ext xmlns:c16="http://schemas.microsoft.com/office/drawing/2014/chart" uri="{C3380CC4-5D6E-409C-BE32-E72D297353CC}">
              <c16:uniqueId val="{00000002-D0E9-4467-872C-EDC189312720}"/>
            </c:ext>
          </c:extLst>
        </c:ser>
        <c:dLbls>
          <c:dLblPos val="outEnd"/>
          <c:showLegendKey val="0"/>
          <c:showVal val="1"/>
          <c:showCatName val="0"/>
          <c:showSerName val="0"/>
          <c:showPercent val="0"/>
          <c:showBubbleSize val="0"/>
        </c:dLbls>
        <c:gapWidth val="72"/>
        <c:overlap val="-27"/>
        <c:axId val="1445385119"/>
        <c:axId val="1408069103"/>
      </c:barChart>
      <c:catAx>
        <c:axId val="144538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069103"/>
        <c:crosses val="autoZero"/>
        <c:auto val="1"/>
        <c:lblAlgn val="ctr"/>
        <c:lblOffset val="100"/>
        <c:noMultiLvlLbl val="0"/>
      </c:catAx>
      <c:valAx>
        <c:axId val="1408069103"/>
        <c:scaling>
          <c:orientation val="minMax"/>
        </c:scaling>
        <c:delete val="1"/>
        <c:axPos val="l"/>
        <c:numFmt formatCode="General" sourceLinked="1"/>
        <c:majorTickMark val="none"/>
        <c:minorTickMark val="none"/>
        <c:tickLblPos val="nextTo"/>
        <c:crossAx val="144538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[Retail-Sales-Dashboard.xlsx]Pivot Engine!PivotTable6</c:name>
    <c:fmtId val="3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Purchasing</a:t>
            </a:r>
            <a:r>
              <a:rPr lang="en-US" b="1" baseline="0">
                <a:solidFill>
                  <a:schemeClr val="tx1"/>
                </a:solidFill>
              </a:rPr>
              <a:t> Behaviour By Product Category and Revenue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A12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69E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Engine'!$B$124:$B$125</c:f>
              <c:strCache>
                <c:ptCount val="1"/>
                <c:pt idx="0">
                  <c:v>Beauty</c:v>
                </c:pt>
              </c:strCache>
            </c:strRef>
          </c:tx>
          <c:spPr>
            <a:solidFill>
              <a:srgbClr val="4A122E"/>
            </a:solidFill>
            <a:ln>
              <a:noFill/>
            </a:ln>
            <a:effectLst/>
          </c:spPr>
          <c:invertIfNegative val="0"/>
          <c:cat>
            <c:strRef>
              <c:f>'Pivot Engine'!$A$126:$A$130</c:f>
              <c:strCache>
                <c:ptCount val="4"/>
                <c:pt idx="0">
                  <c:v>1 Item</c:v>
                </c:pt>
                <c:pt idx="1">
                  <c:v>2 Items</c:v>
                </c:pt>
                <c:pt idx="2">
                  <c:v>3 Items</c:v>
                </c:pt>
                <c:pt idx="3">
                  <c:v>4 Items</c:v>
                </c:pt>
              </c:strCache>
            </c:strRef>
          </c:cat>
          <c:val>
            <c:numRef>
              <c:f>'Pivot Engine'!$B$126:$B$130</c:f>
              <c:numCache>
                <c:formatCode>"$"#,##0</c:formatCode>
                <c:ptCount val="4"/>
                <c:pt idx="0">
                  <c:v>11730</c:v>
                </c:pt>
                <c:pt idx="1">
                  <c:v>29930</c:v>
                </c:pt>
                <c:pt idx="2">
                  <c:v>52155</c:v>
                </c:pt>
                <c:pt idx="3">
                  <c:v>49700</c:v>
                </c:pt>
              </c:numCache>
            </c:numRef>
          </c:val>
          <c:extLst>
            <c:ext xmlns:c16="http://schemas.microsoft.com/office/drawing/2014/chart" uri="{C3380CC4-5D6E-409C-BE32-E72D297353CC}">
              <c16:uniqueId val="{00000000-1DFE-4151-ACAB-264622636133}"/>
            </c:ext>
          </c:extLst>
        </c:ser>
        <c:ser>
          <c:idx val="1"/>
          <c:order val="1"/>
          <c:tx>
            <c:strRef>
              <c:f>'Pivot Engine'!$C$124:$C$125</c:f>
              <c:strCache>
                <c:ptCount val="1"/>
                <c:pt idx="0">
                  <c:v>Clothing</c:v>
                </c:pt>
              </c:strCache>
            </c:strRef>
          </c:tx>
          <c:spPr>
            <a:solidFill>
              <a:srgbClr val="D69E2E"/>
            </a:solidFill>
            <a:ln>
              <a:noFill/>
            </a:ln>
            <a:effectLst/>
          </c:spPr>
          <c:invertIfNegative val="0"/>
          <c:cat>
            <c:strRef>
              <c:f>'Pivot Engine'!$A$126:$A$130</c:f>
              <c:strCache>
                <c:ptCount val="4"/>
                <c:pt idx="0">
                  <c:v>1 Item</c:v>
                </c:pt>
                <c:pt idx="1">
                  <c:v>2 Items</c:v>
                </c:pt>
                <c:pt idx="2">
                  <c:v>3 Items</c:v>
                </c:pt>
                <c:pt idx="3">
                  <c:v>4 Items</c:v>
                </c:pt>
              </c:strCache>
            </c:strRef>
          </c:cat>
          <c:val>
            <c:numRef>
              <c:f>'Pivot Engine'!$C$126:$C$130</c:f>
              <c:numCache>
                <c:formatCode>"$"#,##0</c:formatCode>
                <c:ptCount val="4"/>
                <c:pt idx="0">
                  <c:v>16115</c:v>
                </c:pt>
                <c:pt idx="1">
                  <c:v>24670</c:v>
                </c:pt>
                <c:pt idx="2">
                  <c:v>48315</c:v>
                </c:pt>
                <c:pt idx="3">
                  <c:v>66480</c:v>
                </c:pt>
              </c:numCache>
            </c:numRef>
          </c:val>
          <c:extLst>
            <c:ext xmlns:c16="http://schemas.microsoft.com/office/drawing/2014/chart" uri="{C3380CC4-5D6E-409C-BE32-E72D297353CC}">
              <c16:uniqueId val="{00000001-1DFE-4151-ACAB-264622636133}"/>
            </c:ext>
          </c:extLst>
        </c:ser>
        <c:ser>
          <c:idx val="2"/>
          <c:order val="2"/>
          <c:tx>
            <c:strRef>
              <c:f>'Pivot Engine'!$D$124:$D$125</c:f>
              <c:strCache>
                <c:ptCount val="1"/>
                <c:pt idx="0">
                  <c:v>Electronics</c:v>
                </c:pt>
              </c:strCache>
            </c:strRef>
          </c:tx>
          <c:spPr>
            <a:solidFill>
              <a:schemeClr val="bg2">
                <a:lumMod val="50000"/>
              </a:schemeClr>
            </a:solidFill>
            <a:ln>
              <a:noFill/>
            </a:ln>
            <a:effectLst/>
          </c:spPr>
          <c:invertIfNegative val="0"/>
          <c:cat>
            <c:strRef>
              <c:f>'Pivot Engine'!$A$126:$A$130</c:f>
              <c:strCache>
                <c:ptCount val="4"/>
                <c:pt idx="0">
                  <c:v>1 Item</c:v>
                </c:pt>
                <c:pt idx="1">
                  <c:v>2 Items</c:v>
                </c:pt>
                <c:pt idx="2">
                  <c:v>3 Items</c:v>
                </c:pt>
                <c:pt idx="3">
                  <c:v>4 Items</c:v>
                </c:pt>
              </c:strCache>
            </c:strRef>
          </c:cat>
          <c:val>
            <c:numRef>
              <c:f>'Pivot Engine'!$D$126:$D$130</c:f>
              <c:numCache>
                <c:formatCode>"$"#,##0</c:formatCode>
                <c:ptCount val="4"/>
                <c:pt idx="0">
                  <c:v>16960</c:v>
                </c:pt>
                <c:pt idx="1">
                  <c:v>26450</c:v>
                </c:pt>
                <c:pt idx="2">
                  <c:v>43815</c:v>
                </c:pt>
                <c:pt idx="3">
                  <c:v>69680</c:v>
                </c:pt>
              </c:numCache>
            </c:numRef>
          </c:val>
          <c:extLst>
            <c:ext xmlns:c16="http://schemas.microsoft.com/office/drawing/2014/chart" uri="{C3380CC4-5D6E-409C-BE32-E72D297353CC}">
              <c16:uniqueId val="{00000002-1DFE-4151-ACAB-264622636133}"/>
            </c:ext>
          </c:extLst>
        </c:ser>
        <c:dLbls>
          <c:showLegendKey val="0"/>
          <c:showVal val="0"/>
          <c:showCatName val="0"/>
          <c:showSerName val="0"/>
          <c:showPercent val="0"/>
          <c:showBubbleSize val="0"/>
        </c:dLbls>
        <c:gapWidth val="219"/>
        <c:overlap val="-27"/>
        <c:axId val="1291418623"/>
        <c:axId val="1408128143"/>
      </c:barChart>
      <c:catAx>
        <c:axId val="129141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8128143"/>
        <c:crosses val="autoZero"/>
        <c:auto val="1"/>
        <c:lblAlgn val="ctr"/>
        <c:lblOffset val="100"/>
        <c:noMultiLvlLbl val="0"/>
      </c:catAx>
      <c:valAx>
        <c:axId val="14081281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418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215900</xdr:colOff>
      <xdr:row>15</xdr:row>
      <xdr:rowOff>38100</xdr:rowOff>
    </xdr:from>
    <xdr:to>
      <xdr:col>7</xdr:col>
      <xdr:colOff>609600</xdr:colOff>
      <xdr:row>32</xdr:row>
      <xdr:rowOff>114300</xdr:rowOff>
    </xdr:to>
    <xdr:graphicFrame macro="">
      <xdr:nvGraphicFramePr>
        <xdr:cNvPr id="2" name="Chart 1">
          <a:extLst>
            <a:ext uri="{FF2B5EF4-FFF2-40B4-BE49-F238E27FC236}">
              <a16:creationId xmlns:a16="http://schemas.microsoft.com/office/drawing/2014/main" id="{456CEC83-060D-026D-4E55-A29B9C200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539750</xdr:colOff>
      <xdr:row>37</xdr:row>
      <xdr:rowOff>146050</xdr:rowOff>
    </xdr:from>
    <xdr:to>
      <xdr:col>7</xdr:col>
      <xdr:colOff>635000</xdr:colOff>
      <xdr:row>51</xdr:row>
      <xdr:rowOff>139700</xdr:rowOff>
    </xdr:to>
    <xdr:graphicFrame macro="">
      <xdr:nvGraphicFramePr>
        <xdr:cNvPr id="3" name="Chart 2">
          <a:extLst>
            <a:ext uri="{FF2B5EF4-FFF2-40B4-BE49-F238E27FC236}">
              <a16:creationId xmlns:a16="http://schemas.microsoft.com/office/drawing/2014/main" id="{1CD84B31-587E-5B5C-7951-F75CF29B7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63</xdr:row>
      <xdr:rowOff>101600</xdr:rowOff>
    </xdr:from>
    <xdr:to>
      <xdr:col>7</xdr:col>
      <xdr:colOff>304800</xdr:colOff>
      <xdr:row>75</xdr:row>
      <xdr:rowOff>95250</xdr:rowOff>
    </xdr:to>
    <xdr:graphicFrame macro="">
      <xdr:nvGraphicFramePr>
        <xdr:cNvPr id="4" name="Chart 3">
          <a:extLst>
            <a:ext uri="{FF2B5EF4-FFF2-40B4-BE49-F238E27FC236}">
              <a16:creationId xmlns:a16="http://schemas.microsoft.com/office/drawing/2014/main" id="{708AD002-9644-0B9B-3E3B-B68219E35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86</xdr:row>
      <xdr:rowOff>133350</xdr:rowOff>
    </xdr:from>
    <xdr:to>
      <xdr:col>7</xdr:col>
      <xdr:colOff>12700</xdr:colOff>
      <xdr:row>101</xdr:row>
      <xdr:rowOff>0</xdr:rowOff>
    </xdr:to>
    <xdr:graphicFrame macro="">
      <xdr:nvGraphicFramePr>
        <xdr:cNvPr id="5" name="Chart 4">
          <a:extLst>
            <a:ext uri="{FF2B5EF4-FFF2-40B4-BE49-F238E27FC236}">
              <a16:creationId xmlns:a16="http://schemas.microsoft.com/office/drawing/2014/main" id="{0920A2BD-4BCE-F0DB-A844-23BC2680F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222250</xdr:colOff>
      <xdr:row>104</xdr:row>
      <xdr:rowOff>146050</xdr:rowOff>
    </xdr:from>
    <xdr:to>
      <xdr:col>9</xdr:col>
      <xdr:colOff>292100</xdr:colOff>
      <xdr:row>119</xdr:row>
      <xdr:rowOff>127000</xdr:rowOff>
    </xdr:to>
    <xdr:graphicFrame macro="">
      <xdr:nvGraphicFramePr>
        <xdr:cNvPr id="6" name="Chart 5">
          <a:extLst>
            <a:ext uri="{FF2B5EF4-FFF2-40B4-BE49-F238E27FC236}">
              <a16:creationId xmlns:a16="http://schemas.microsoft.com/office/drawing/2014/main" id="{336DF03C-5C51-F9C0-0378-DC135B32E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69850</xdr:colOff>
      <xdr:row>122</xdr:row>
      <xdr:rowOff>171450</xdr:rowOff>
    </xdr:from>
    <xdr:to>
      <xdr:col>10</xdr:col>
      <xdr:colOff>406400</xdr:colOff>
      <xdr:row>137</xdr:row>
      <xdr:rowOff>101600</xdr:rowOff>
    </xdr:to>
    <xdr:graphicFrame macro="">
      <xdr:nvGraphicFramePr>
        <xdr:cNvPr id="7" name="Chart 6">
          <a:extLst>
            <a:ext uri="{FF2B5EF4-FFF2-40B4-BE49-F238E27FC236}">
              <a16:creationId xmlns:a16="http://schemas.microsoft.com/office/drawing/2014/main" id="{5436C182-9FBC-39E7-E8A8-A2765AF9C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44450</xdr:rowOff>
    </xdr:from>
    <xdr:to>
      <xdr:col>14</xdr:col>
      <xdr:colOff>571500</xdr:colOff>
      <xdr:row>31</xdr:row>
      <xdr:rowOff>146050</xdr:rowOff>
    </xdr:to>
    <xdr:pic>
      <xdr:nvPicPr>
        <xdr:cNvPr id="3" name="Picture 2">
          <a:extLst>
            <a:ext uri="{FF2B5EF4-FFF2-40B4-BE49-F238E27FC236}">
              <a16:creationId xmlns:a16="http://schemas.microsoft.com/office/drawing/2014/main" id="{4760A7FA-ACEA-E721-4687-1F3FB390E0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4450"/>
          <a:ext cx="9105900" cy="5810250"/>
        </a:xfrm>
        <a:prstGeom prst="rect">
          <a:avLst/>
        </a:prstGeom>
      </xdr:spPr>
    </xdr:pic>
    <xdr:clientData/>
  </xdr:twoCellAnchor>
  <xdr:twoCellAnchor>
    <xdr:from>
      <xdr:col>15</xdr:col>
      <xdr:colOff>146050</xdr:colOff>
      <xdr:row>0</xdr:row>
      <xdr:rowOff>31750</xdr:rowOff>
    </xdr:from>
    <xdr:to>
      <xdr:col>19</xdr:col>
      <xdr:colOff>330200</xdr:colOff>
      <xdr:row>31</xdr:row>
      <xdr:rowOff>127000</xdr:rowOff>
    </xdr:to>
    <xdr:sp macro="" textlink="">
      <xdr:nvSpPr>
        <xdr:cNvPr id="4" name="TextBox 3">
          <a:extLst>
            <a:ext uri="{FF2B5EF4-FFF2-40B4-BE49-F238E27FC236}">
              <a16:creationId xmlns:a16="http://schemas.microsoft.com/office/drawing/2014/main" id="{DEA8650E-046E-0730-9A3E-16D4172ED1CC}"/>
            </a:ext>
          </a:extLst>
        </xdr:cNvPr>
        <xdr:cNvSpPr txBox="1"/>
      </xdr:nvSpPr>
      <xdr:spPr>
        <a:xfrm>
          <a:off x="9290050" y="31750"/>
          <a:ext cx="2622550" cy="580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Project 15/15 is officially live! 🎉 </a:t>
          </a:r>
        </a:p>
        <a:p>
          <a:endParaRPr lang="en-US" sz="2400"/>
        </a:p>
        <a:p>
          <a:r>
            <a:rPr lang="en-US" sz="2400"/>
            <a:t>And this one shows exactly how data can tell a retail business WHO to target, WHAT to sell, WHEN to sell it, and HOW to make customers spend more.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44450</xdr:colOff>
      <xdr:row>0</xdr:row>
      <xdr:rowOff>69850</xdr:rowOff>
    </xdr:from>
    <xdr:to>
      <xdr:col>16</xdr:col>
      <xdr:colOff>457200</xdr:colOff>
      <xdr:row>3</xdr:row>
      <xdr:rowOff>6350</xdr:rowOff>
    </xdr:to>
    <xdr:sp macro="" textlink="">
      <xdr:nvSpPr>
        <xdr:cNvPr id="2" name="TextBox 1">
          <a:extLst>
            <a:ext uri="{FF2B5EF4-FFF2-40B4-BE49-F238E27FC236}">
              <a16:creationId xmlns:a16="http://schemas.microsoft.com/office/drawing/2014/main" id="{3FB78FC8-01FA-4DED-13F4-8E7EF8F75334}"/>
            </a:ext>
          </a:extLst>
        </xdr:cNvPr>
        <xdr:cNvSpPr txBox="1"/>
      </xdr:nvSpPr>
      <xdr:spPr>
        <a:xfrm>
          <a:off x="44450" y="69850"/>
          <a:ext cx="101663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Segoe UI" panose="020B0502040204020203" pitchFamily="34" charset="0"/>
              <a:cs typeface="Segoe UI" panose="020B0502040204020203" pitchFamily="34" charset="0"/>
            </a:rPr>
            <a:t>RETAIL SALES AND CUSTOMER DEMOGRAPHIC PROJECT BY MOWANINUOLA UMARUDEEN</a:t>
          </a:r>
        </a:p>
      </xdr:txBody>
    </xdr:sp>
    <xdr:clientData/>
  </xdr:twoCellAnchor>
  <xdr:twoCellAnchor>
    <xdr:from>
      <xdr:col>0</xdr:col>
      <xdr:colOff>50800</xdr:colOff>
      <xdr:row>3</xdr:row>
      <xdr:rowOff>82550</xdr:rowOff>
    </xdr:from>
    <xdr:to>
      <xdr:col>2</xdr:col>
      <xdr:colOff>431800</xdr:colOff>
      <xdr:row>6</xdr:row>
      <xdr:rowOff>0</xdr:rowOff>
    </xdr:to>
    <xdr:sp macro="" textlink="">
      <xdr:nvSpPr>
        <xdr:cNvPr id="3" name="TextBox 2">
          <a:extLst>
            <a:ext uri="{FF2B5EF4-FFF2-40B4-BE49-F238E27FC236}">
              <a16:creationId xmlns:a16="http://schemas.microsoft.com/office/drawing/2014/main" id="{651B1EB5-3E2C-0014-7C77-E5B3997D20B3}"/>
            </a:ext>
          </a:extLst>
        </xdr:cNvPr>
        <xdr:cNvSpPr txBox="1"/>
      </xdr:nvSpPr>
      <xdr:spPr>
        <a:xfrm>
          <a:off x="50800" y="635000"/>
          <a:ext cx="16002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Transactions</a:t>
          </a:r>
        </a:p>
        <a:p>
          <a:pPr algn="ctr"/>
          <a:r>
            <a:rPr lang="en-US" sz="1200" b="1"/>
            <a:t>1000</a:t>
          </a:r>
        </a:p>
      </xdr:txBody>
    </xdr:sp>
    <xdr:clientData/>
  </xdr:twoCellAnchor>
  <xdr:twoCellAnchor>
    <xdr:from>
      <xdr:col>5</xdr:col>
      <xdr:colOff>215900</xdr:colOff>
      <xdr:row>3</xdr:row>
      <xdr:rowOff>76200</xdr:rowOff>
    </xdr:from>
    <xdr:to>
      <xdr:col>7</xdr:col>
      <xdr:colOff>285750</xdr:colOff>
      <xdr:row>5</xdr:row>
      <xdr:rowOff>177800</xdr:rowOff>
    </xdr:to>
    <xdr:sp macro="" textlink="">
      <xdr:nvSpPr>
        <xdr:cNvPr id="4" name="TextBox 3">
          <a:extLst>
            <a:ext uri="{FF2B5EF4-FFF2-40B4-BE49-F238E27FC236}">
              <a16:creationId xmlns:a16="http://schemas.microsoft.com/office/drawing/2014/main" id="{7E7B0C8A-8673-42B5-9D5A-3CA2C249D8FB}"/>
            </a:ext>
          </a:extLst>
        </xdr:cNvPr>
        <xdr:cNvSpPr txBox="1"/>
      </xdr:nvSpPr>
      <xdr:spPr>
        <a:xfrm>
          <a:off x="3263900" y="628650"/>
          <a:ext cx="12890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Revenue</a:t>
          </a:r>
        </a:p>
        <a:p>
          <a:pPr algn="ctr"/>
          <a:r>
            <a:rPr lang="en-US" sz="1200" b="1"/>
            <a:t>$456,000</a:t>
          </a:r>
        </a:p>
      </xdr:txBody>
    </xdr:sp>
    <xdr:clientData/>
  </xdr:twoCellAnchor>
  <xdr:twoCellAnchor>
    <xdr:from>
      <xdr:col>7</xdr:col>
      <xdr:colOff>444500</xdr:colOff>
      <xdr:row>3</xdr:row>
      <xdr:rowOff>82550</xdr:rowOff>
    </xdr:from>
    <xdr:to>
      <xdr:col>10</xdr:col>
      <xdr:colOff>285750</xdr:colOff>
      <xdr:row>6</xdr:row>
      <xdr:rowOff>0</xdr:rowOff>
    </xdr:to>
    <xdr:sp macro="" textlink="">
      <xdr:nvSpPr>
        <xdr:cNvPr id="5" name="TextBox 4">
          <a:extLst>
            <a:ext uri="{FF2B5EF4-FFF2-40B4-BE49-F238E27FC236}">
              <a16:creationId xmlns:a16="http://schemas.microsoft.com/office/drawing/2014/main" id="{EF331ED7-C34D-423F-8BD9-7DD4B6838E55}"/>
            </a:ext>
          </a:extLst>
        </xdr:cNvPr>
        <xdr:cNvSpPr txBox="1"/>
      </xdr:nvSpPr>
      <xdr:spPr>
        <a:xfrm>
          <a:off x="4711700" y="635000"/>
          <a:ext cx="16700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Average</a:t>
          </a:r>
          <a:r>
            <a:rPr lang="en-US" sz="1200" b="1" baseline="0"/>
            <a:t> Price Per Unit</a:t>
          </a:r>
        </a:p>
        <a:p>
          <a:pPr algn="ctr"/>
          <a:r>
            <a:rPr lang="en-US" sz="1200" b="1"/>
            <a:t>$180</a:t>
          </a:r>
        </a:p>
      </xdr:txBody>
    </xdr:sp>
    <xdr:clientData/>
  </xdr:twoCellAnchor>
  <xdr:twoCellAnchor>
    <xdr:from>
      <xdr:col>10</xdr:col>
      <xdr:colOff>444500</xdr:colOff>
      <xdr:row>3</xdr:row>
      <xdr:rowOff>82550</xdr:rowOff>
    </xdr:from>
    <xdr:to>
      <xdr:col>13</xdr:col>
      <xdr:colOff>152400</xdr:colOff>
      <xdr:row>6</xdr:row>
      <xdr:rowOff>0</xdr:rowOff>
    </xdr:to>
    <xdr:sp macro="" textlink="">
      <xdr:nvSpPr>
        <xdr:cNvPr id="6" name="TextBox 5">
          <a:extLst>
            <a:ext uri="{FF2B5EF4-FFF2-40B4-BE49-F238E27FC236}">
              <a16:creationId xmlns:a16="http://schemas.microsoft.com/office/drawing/2014/main" id="{44B28C0B-7266-4360-B3AC-0B56DAD1955A}"/>
            </a:ext>
          </a:extLst>
        </xdr:cNvPr>
        <xdr:cNvSpPr txBox="1"/>
      </xdr:nvSpPr>
      <xdr:spPr>
        <a:xfrm>
          <a:off x="6540500" y="635000"/>
          <a:ext cx="15367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Average</a:t>
          </a:r>
          <a:r>
            <a:rPr lang="en-US" sz="1200" b="1" baseline="0"/>
            <a:t> Order Value</a:t>
          </a:r>
          <a:endParaRPr lang="en-US" sz="1200" b="1"/>
        </a:p>
        <a:p>
          <a:pPr algn="ctr"/>
          <a:r>
            <a:rPr lang="en-US" sz="1200" b="1"/>
            <a:t>$456</a:t>
          </a:r>
        </a:p>
      </xdr:txBody>
    </xdr:sp>
    <xdr:clientData/>
  </xdr:twoCellAnchor>
  <xdr:twoCellAnchor>
    <xdr:from>
      <xdr:col>2</xdr:col>
      <xdr:colOff>552450</xdr:colOff>
      <xdr:row>3</xdr:row>
      <xdr:rowOff>76200</xdr:rowOff>
    </xdr:from>
    <xdr:to>
      <xdr:col>5</xdr:col>
      <xdr:colOff>88900</xdr:colOff>
      <xdr:row>5</xdr:row>
      <xdr:rowOff>177800</xdr:rowOff>
    </xdr:to>
    <xdr:sp macro="" textlink="">
      <xdr:nvSpPr>
        <xdr:cNvPr id="7" name="TextBox 6">
          <a:extLst>
            <a:ext uri="{FF2B5EF4-FFF2-40B4-BE49-F238E27FC236}">
              <a16:creationId xmlns:a16="http://schemas.microsoft.com/office/drawing/2014/main" id="{E1BEE503-1859-4B37-B31E-C878DF44C690}"/>
            </a:ext>
          </a:extLst>
        </xdr:cNvPr>
        <xdr:cNvSpPr txBox="1"/>
      </xdr:nvSpPr>
      <xdr:spPr>
        <a:xfrm>
          <a:off x="1771650" y="628650"/>
          <a:ext cx="13652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Units Sold</a:t>
          </a:r>
        </a:p>
        <a:p>
          <a:pPr algn="ctr"/>
          <a:r>
            <a:rPr lang="en-US" sz="1200" b="1"/>
            <a:t>2,514</a:t>
          </a:r>
          <a:r>
            <a:rPr lang="en-US" sz="1200" b="1" baseline="0"/>
            <a:t> units</a:t>
          </a:r>
          <a:endParaRPr lang="en-US" sz="1200" b="1"/>
        </a:p>
      </xdr:txBody>
    </xdr:sp>
    <xdr:clientData/>
  </xdr:twoCellAnchor>
  <xdr:twoCellAnchor>
    <xdr:from>
      <xdr:col>0</xdr:col>
      <xdr:colOff>44450</xdr:colOff>
      <xdr:row>6</xdr:row>
      <xdr:rowOff>63500</xdr:rowOff>
    </xdr:from>
    <xdr:to>
      <xdr:col>6</xdr:col>
      <xdr:colOff>527050</xdr:colOff>
      <xdr:row>18</xdr:row>
      <xdr:rowOff>133350</xdr:rowOff>
    </xdr:to>
    <xdr:graphicFrame macro="">
      <xdr:nvGraphicFramePr>
        <xdr:cNvPr id="8" name="Chart 7">
          <a:extLst>
            <a:ext uri="{FF2B5EF4-FFF2-40B4-BE49-F238E27FC236}">
              <a16:creationId xmlns:a16="http://schemas.microsoft.com/office/drawing/2014/main" id="{8A87E8C6-0797-4D6C-8CE5-FA25DB1B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6</xdr:row>
      <xdr:rowOff>63500</xdr:rowOff>
    </xdr:from>
    <xdr:to>
      <xdr:col>11</xdr:col>
      <xdr:colOff>565150</xdr:colOff>
      <xdr:row>18</xdr:row>
      <xdr:rowOff>133350</xdr:rowOff>
    </xdr:to>
    <xdr:graphicFrame macro="">
      <xdr:nvGraphicFramePr>
        <xdr:cNvPr id="9" name="Chart 8">
          <a:extLst>
            <a:ext uri="{FF2B5EF4-FFF2-40B4-BE49-F238E27FC236}">
              <a16:creationId xmlns:a16="http://schemas.microsoft.com/office/drawing/2014/main" id="{4C52BEC7-040E-45A8-878A-2BE46B9FB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6</xdr:row>
      <xdr:rowOff>57150</xdr:rowOff>
    </xdr:from>
    <xdr:to>
      <xdr:col>16</xdr:col>
      <xdr:colOff>469900</xdr:colOff>
      <xdr:row>18</xdr:row>
      <xdr:rowOff>107950</xdr:rowOff>
    </xdr:to>
    <xdr:graphicFrame macro="">
      <xdr:nvGraphicFramePr>
        <xdr:cNvPr id="10" name="Chart 9">
          <a:extLst>
            <a:ext uri="{FF2B5EF4-FFF2-40B4-BE49-F238E27FC236}">
              <a16:creationId xmlns:a16="http://schemas.microsoft.com/office/drawing/2014/main" id="{691C72F1-C9E3-4E01-9A1B-A42E44608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0</xdr:rowOff>
    </xdr:from>
    <xdr:to>
      <xdr:col>5</xdr:col>
      <xdr:colOff>444500</xdr:colOff>
      <xdr:row>31</xdr:row>
      <xdr:rowOff>101600</xdr:rowOff>
    </xdr:to>
    <xdr:graphicFrame macro="">
      <xdr:nvGraphicFramePr>
        <xdr:cNvPr id="11" name="Chart 10">
          <a:extLst>
            <a:ext uri="{FF2B5EF4-FFF2-40B4-BE49-F238E27FC236}">
              <a16:creationId xmlns:a16="http://schemas.microsoft.com/office/drawing/2014/main" id="{0DDD2DD8-0B97-4717-81FC-31945883D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514350</xdr:colOff>
      <xdr:row>19</xdr:row>
      <xdr:rowOff>0</xdr:rowOff>
    </xdr:from>
    <xdr:to>
      <xdr:col>11</xdr:col>
      <xdr:colOff>571500</xdr:colOff>
      <xdr:row>31</xdr:row>
      <xdr:rowOff>95250</xdr:rowOff>
    </xdr:to>
    <xdr:graphicFrame macro="">
      <xdr:nvGraphicFramePr>
        <xdr:cNvPr id="12" name="Chart 11">
          <a:extLst>
            <a:ext uri="{FF2B5EF4-FFF2-40B4-BE49-F238E27FC236}">
              <a16:creationId xmlns:a16="http://schemas.microsoft.com/office/drawing/2014/main" id="{086C3AC5-8A71-431D-8AD2-2E4C8741C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19</xdr:row>
      <xdr:rowOff>0</xdr:rowOff>
    </xdr:from>
    <xdr:to>
      <xdr:col>16</xdr:col>
      <xdr:colOff>469900</xdr:colOff>
      <xdr:row>31</xdr:row>
      <xdr:rowOff>95250</xdr:rowOff>
    </xdr:to>
    <xdr:graphicFrame macro="">
      <xdr:nvGraphicFramePr>
        <xdr:cNvPr id="13" name="Chart 12">
          <a:extLst>
            <a:ext uri="{FF2B5EF4-FFF2-40B4-BE49-F238E27FC236}">
              <a16:creationId xmlns:a16="http://schemas.microsoft.com/office/drawing/2014/main" id="{80CD0F2F-AD33-4595-81EE-E6C4105D3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495300</xdr:colOff>
      <xdr:row>0</xdr:row>
      <xdr:rowOff>76200</xdr:rowOff>
    </xdr:from>
    <xdr:to>
      <xdr:col>19</xdr:col>
      <xdr:colOff>355600</xdr:colOff>
      <xdr:row>6</xdr:row>
      <xdr:rowOff>95250</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580FBF0F-E997-B16E-BD03-47087B793CA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248900" y="76200"/>
              <a:ext cx="16891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520700</xdr:colOff>
      <xdr:row>20</xdr:row>
      <xdr:rowOff>101600</xdr:rowOff>
    </xdr:from>
    <xdr:to>
      <xdr:col>19</xdr:col>
      <xdr:colOff>387350</xdr:colOff>
      <xdr:row>31</xdr:row>
      <xdr:rowOff>82550</xdr:rowOff>
    </xdr:to>
    <mc:AlternateContent xmlns:mc="http://schemas.openxmlformats.org/markup-compatibility/2006" xmlns:a14="http://schemas.microsoft.com/office/drawing/2010/main">
      <mc:Choice Requires="a14">
        <xdr:graphicFrame macro="">
          <xdr:nvGraphicFramePr>
            <xdr:cNvPr id="15" name="Months (Date)">
              <a:extLst>
                <a:ext uri="{FF2B5EF4-FFF2-40B4-BE49-F238E27FC236}">
                  <a16:creationId xmlns:a16="http://schemas.microsoft.com/office/drawing/2014/main" id="{B754DAD8-DC53-A4F8-8BBA-7D606FE08D1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274300" y="3784600"/>
              <a:ext cx="169545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514350</xdr:colOff>
      <xdr:row>11</xdr:row>
      <xdr:rowOff>158750</xdr:rowOff>
    </xdr:from>
    <xdr:to>
      <xdr:col>19</xdr:col>
      <xdr:colOff>381000</xdr:colOff>
      <xdr:row>20</xdr:row>
      <xdr:rowOff>63500</xdr:rowOff>
    </xdr:to>
    <mc:AlternateContent xmlns:mc="http://schemas.openxmlformats.org/markup-compatibility/2006" xmlns:a14="http://schemas.microsoft.com/office/drawing/2010/main">
      <mc:Choice Requires="a14">
        <xdr:graphicFrame macro="">
          <xdr:nvGraphicFramePr>
            <xdr:cNvPr id="16" name="Quarters (Date)">
              <a:extLst>
                <a:ext uri="{FF2B5EF4-FFF2-40B4-BE49-F238E27FC236}">
                  <a16:creationId xmlns:a16="http://schemas.microsoft.com/office/drawing/2014/main" id="{23DA68A2-7E3C-1AB7-422B-1C1C70144FDA}"/>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0267950" y="2184400"/>
              <a:ext cx="169545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508000</xdr:colOff>
      <xdr:row>6</xdr:row>
      <xdr:rowOff>127000</xdr:rowOff>
    </xdr:from>
    <xdr:to>
      <xdr:col>19</xdr:col>
      <xdr:colOff>368300</xdr:colOff>
      <xdr:row>11</xdr:row>
      <xdr:rowOff>127000</xdr:rowOff>
    </xdr:to>
    <mc:AlternateContent xmlns:mc="http://schemas.openxmlformats.org/markup-compatibility/2006" xmlns:a14="http://schemas.microsoft.com/office/drawing/2010/main">
      <mc:Choice Requires="a14">
        <xdr:graphicFrame macro="">
          <xdr:nvGraphicFramePr>
            <xdr:cNvPr id="17" name="Years (Date)">
              <a:extLst>
                <a:ext uri="{FF2B5EF4-FFF2-40B4-BE49-F238E27FC236}">
                  <a16:creationId xmlns:a16="http://schemas.microsoft.com/office/drawing/2014/main" id="{CBE24F9E-A876-10C6-BEA4-90954A1C107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261600" y="1231900"/>
              <a:ext cx="168910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317500</xdr:colOff>
      <xdr:row>3</xdr:row>
      <xdr:rowOff>76200</xdr:rowOff>
    </xdr:from>
    <xdr:to>
      <xdr:col>16</xdr:col>
      <xdr:colOff>323850</xdr:colOff>
      <xdr:row>5</xdr:row>
      <xdr:rowOff>177800</xdr:rowOff>
    </xdr:to>
    <xdr:sp macro="" textlink="">
      <xdr:nvSpPr>
        <xdr:cNvPr id="18" name="TextBox 17">
          <a:extLst>
            <a:ext uri="{FF2B5EF4-FFF2-40B4-BE49-F238E27FC236}">
              <a16:creationId xmlns:a16="http://schemas.microsoft.com/office/drawing/2014/main" id="{AE0FF42D-B61A-4AC9-8D38-11BBE3582BF9}"/>
            </a:ext>
          </a:extLst>
        </xdr:cNvPr>
        <xdr:cNvSpPr txBox="1"/>
      </xdr:nvSpPr>
      <xdr:spPr>
        <a:xfrm>
          <a:off x="8242300" y="628650"/>
          <a:ext cx="18351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Average Revenue Per Day</a:t>
          </a:r>
        </a:p>
        <a:p>
          <a:pPr algn="ctr"/>
          <a:r>
            <a:rPr lang="en-US" sz="1200" b="1"/>
            <a:t>$1,249</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87.31707824074" createdVersion="8" refreshedVersion="8" minRefreshableVersion="3" recordCount="1000" xr:uid="{F4B97970-798C-438F-A906-AB77937A52B2}">
  <cacheSource type="worksheet">
    <worksheetSource name="Retail"/>
  </cacheSource>
  <cacheFields count="13">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3">
        <s v="18-35"/>
        <s v="36-50"/>
        <s v="51-65"/>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164">
      <sharedItems containsSemiMixedTypes="0" containsString="0" containsNumber="1" containsInteger="1" minValue="25" maxValue="500" count="5">
        <n v="50"/>
        <n v="500"/>
        <n v="30"/>
        <n v="25"/>
        <n v="300"/>
      </sharedItems>
      <fieldGroup base="8">
        <rangePr startNum="25" endNum="500" groupInterval="100"/>
        <groupItems count="7">
          <s v="&lt;25"/>
          <s v="25-124"/>
          <s v="125-224"/>
          <s v="225-324"/>
          <s v="325-424"/>
          <s v="425-524"/>
          <s v="&gt;525"/>
        </groupItems>
      </fieldGroup>
    </cacheField>
    <cacheField name="Total Amount" numFmtId="164">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569958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UST001"/>
    <x v="0"/>
    <n v="34"/>
    <x v="0"/>
    <x v="0"/>
    <x v="0"/>
    <x v="0"/>
    <n v="150"/>
  </r>
  <r>
    <x v="1"/>
    <x v="1"/>
    <s v="CUST002"/>
    <x v="1"/>
    <n v="26"/>
    <x v="0"/>
    <x v="1"/>
    <x v="1"/>
    <x v="1"/>
    <n v="1000"/>
  </r>
  <r>
    <x v="2"/>
    <x v="2"/>
    <s v="CUST003"/>
    <x v="0"/>
    <n v="50"/>
    <x v="1"/>
    <x v="2"/>
    <x v="2"/>
    <x v="2"/>
    <n v="30"/>
  </r>
  <r>
    <x v="3"/>
    <x v="3"/>
    <s v="CUST004"/>
    <x v="0"/>
    <n v="37"/>
    <x v="1"/>
    <x v="1"/>
    <x v="2"/>
    <x v="1"/>
    <n v="500"/>
  </r>
  <r>
    <x v="4"/>
    <x v="4"/>
    <s v="CUST005"/>
    <x v="0"/>
    <n v="30"/>
    <x v="0"/>
    <x v="0"/>
    <x v="1"/>
    <x v="0"/>
    <n v="100"/>
  </r>
  <r>
    <x v="5"/>
    <x v="5"/>
    <s v="CUST006"/>
    <x v="1"/>
    <n v="45"/>
    <x v="1"/>
    <x v="0"/>
    <x v="2"/>
    <x v="2"/>
    <n v="30"/>
  </r>
  <r>
    <x v="6"/>
    <x v="6"/>
    <s v="CUST007"/>
    <x v="0"/>
    <n v="46"/>
    <x v="1"/>
    <x v="1"/>
    <x v="1"/>
    <x v="3"/>
    <n v="50"/>
  </r>
  <r>
    <x v="7"/>
    <x v="7"/>
    <s v="CUST008"/>
    <x v="0"/>
    <n v="30"/>
    <x v="0"/>
    <x v="2"/>
    <x v="3"/>
    <x v="3"/>
    <n v="100"/>
  </r>
  <r>
    <x v="8"/>
    <x v="8"/>
    <s v="CUST009"/>
    <x v="0"/>
    <n v="63"/>
    <x v="2"/>
    <x v="2"/>
    <x v="1"/>
    <x v="4"/>
    <n v="600"/>
  </r>
  <r>
    <x v="9"/>
    <x v="9"/>
    <s v="CUST010"/>
    <x v="1"/>
    <n v="52"/>
    <x v="2"/>
    <x v="1"/>
    <x v="3"/>
    <x v="0"/>
    <n v="200"/>
  </r>
  <r>
    <x v="10"/>
    <x v="10"/>
    <s v="CUST011"/>
    <x v="0"/>
    <n v="23"/>
    <x v="0"/>
    <x v="1"/>
    <x v="1"/>
    <x v="0"/>
    <n v="100"/>
  </r>
  <r>
    <x v="11"/>
    <x v="11"/>
    <s v="CUST012"/>
    <x v="0"/>
    <n v="35"/>
    <x v="0"/>
    <x v="0"/>
    <x v="0"/>
    <x v="3"/>
    <n v="75"/>
  </r>
  <r>
    <x v="12"/>
    <x v="12"/>
    <s v="CUST013"/>
    <x v="0"/>
    <n v="22"/>
    <x v="0"/>
    <x v="2"/>
    <x v="0"/>
    <x v="1"/>
    <n v="1500"/>
  </r>
  <r>
    <x v="13"/>
    <x v="13"/>
    <s v="CUST014"/>
    <x v="0"/>
    <n v="64"/>
    <x v="2"/>
    <x v="1"/>
    <x v="3"/>
    <x v="2"/>
    <n v="120"/>
  </r>
  <r>
    <x v="14"/>
    <x v="14"/>
    <s v="CUST015"/>
    <x v="1"/>
    <n v="42"/>
    <x v="1"/>
    <x v="2"/>
    <x v="3"/>
    <x v="1"/>
    <n v="2000"/>
  </r>
  <r>
    <x v="15"/>
    <x v="15"/>
    <s v="CUST016"/>
    <x v="0"/>
    <n v="19"/>
    <x v="0"/>
    <x v="1"/>
    <x v="0"/>
    <x v="1"/>
    <n v="1500"/>
  </r>
  <r>
    <x v="16"/>
    <x v="16"/>
    <s v="CUST017"/>
    <x v="1"/>
    <n v="27"/>
    <x v="0"/>
    <x v="1"/>
    <x v="3"/>
    <x v="3"/>
    <n v="100"/>
  </r>
  <r>
    <x v="17"/>
    <x v="17"/>
    <s v="CUST018"/>
    <x v="1"/>
    <n v="47"/>
    <x v="1"/>
    <x v="2"/>
    <x v="1"/>
    <x v="3"/>
    <n v="50"/>
  </r>
  <r>
    <x v="18"/>
    <x v="18"/>
    <s v="CUST019"/>
    <x v="1"/>
    <n v="62"/>
    <x v="2"/>
    <x v="1"/>
    <x v="1"/>
    <x v="3"/>
    <n v="50"/>
  </r>
  <r>
    <x v="19"/>
    <x v="19"/>
    <s v="CUST020"/>
    <x v="0"/>
    <n v="22"/>
    <x v="0"/>
    <x v="1"/>
    <x v="0"/>
    <x v="4"/>
    <n v="900"/>
  </r>
  <r>
    <x v="20"/>
    <x v="20"/>
    <s v="CUST021"/>
    <x v="1"/>
    <n v="50"/>
    <x v="1"/>
    <x v="0"/>
    <x v="2"/>
    <x v="1"/>
    <n v="500"/>
  </r>
  <r>
    <x v="21"/>
    <x v="21"/>
    <s v="CUST022"/>
    <x v="0"/>
    <n v="18"/>
    <x v="0"/>
    <x v="1"/>
    <x v="1"/>
    <x v="0"/>
    <n v="100"/>
  </r>
  <r>
    <x v="22"/>
    <x v="22"/>
    <s v="CUST023"/>
    <x v="1"/>
    <n v="35"/>
    <x v="0"/>
    <x v="1"/>
    <x v="3"/>
    <x v="2"/>
    <n v="120"/>
  </r>
  <r>
    <x v="23"/>
    <x v="23"/>
    <s v="CUST024"/>
    <x v="1"/>
    <n v="49"/>
    <x v="1"/>
    <x v="1"/>
    <x v="2"/>
    <x v="4"/>
    <n v="300"/>
  </r>
  <r>
    <x v="24"/>
    <x v="24"/>
    <s v="CUST025"/>
    <x v="1"/>
    <n v="64"/>
    <x v="2"/>
    <x v="0"/>
    <x v="2"/>
    <x v="0"/>
    <n v="50"/>
  </r>
  <r>
    <x v="25"/>
    <x v="9"/>
    <s v="CUST026"/>
    <x v="1"/>
    <n v="28"/>
    <x v="0"/>
    <x v="2"/>
    <x v="1"/>
    <x v="1"/>
    <n v="1000"/>
  </r>
  <r>
    <x v="26"/>
    <x v="25"/>
    <s v="CUST027"/>
    <x v="1"/>
    <n v="38"/>
    <x v="1"/>
    <x v="0"/>
    <x v="1"/>
    <x v="3"/>
    <n v="50"/>
  </r>
  <r>
    <x v="27"/>
    <x v="26"/>
    <s v="CUST028"/>
    <x v="1"/>
    <n v="43"/>
    <x v="1"/>
    <x v="0"/>
    <x v="2"/>
    <x v="1"/>
    <n v="500"/>
  </r>
  <r>
    <x v="28"/>
    <x v="27"/>
    <s v="CUST029"/>
    <x v="1"/>
    <n v="42"/>
    <x v="1"/>
    <x v="2"/>
    <x v="2"/>
    <x v="2"/>
    <n v="30"/>
  </r>
  <r>
    <x v="29"/>
    <x v="28"/>
    <s v="CUST030"/>
    <x v="1"/>
    <n v="39"/>
    <x v="1"/>
    <x v="0"/>
    <x v="0"/>
    <x v="4"/>
    <n v="900"/>
  </r>
  <r>
    <x v="30"/>
    <x v="29"/>
    <s v="CUST031"/>
    <x v="0"/>
    <n v="44"/>
    <x v="1"/>
    <x v="2"/>
    <x v="3"/>
    <x v="4"/>
    <n v="1200"/>
  </r>
  <r>
    <x v="31"/>
    <x v="30"/>
    <s v="CUST032"/>
    <x v="0"/>
    <n v="30"/>
    <x v="0"/>
    <x v="0"/>
    <x v="0"/>
    <x v="2"/>
    <n v="90"/>
  </r>
  <r>
    <x v="32"/>
    <x v="31"/>
    <s v="CUST033"/>
    <x v="1"/>
    <n v="50"/>
    <x v="1"/>
    <x v="2"/>
    <x v="1"/>
    <x v="0"/>
    <n v="100"/>
  </r>
  <r>
    <x v="33"/>
    <x v="32"/>
    <s v="CUST034"/>
    <x v="1"/>
    <n v="51"/>
    <x v="2"/>
    <x v="1"/>
    <x v="0"/>
    <x v="0"/>
    <n v="150"/>
  </r>
  <r>
    <x v="34"/>
    <x v="12"/>
    <s v="CUST035"/>
    <x v="1"/>
    <n v="58"/>
    <x v="2"/>
    <x v="0"/>
    <x v="0"/>
    <x v="4"/>
    <n v="900"/>
  </r>
  <r>
    <x v="35"/>
    <x v="33"/>
    <s v="CUST036"/>
    <x v="0"/>
    <n v="52"/>
    <x v="2"/>
    <x v="0"/>
    <x v="0"/>
    <x v="4"/>
    <n v="900"/>
  </r>
  <r>
    <x v="36"/>
    <x v="29"/>
    <s v="CUST037"/>
    <x v="1"/>
    <n v="18"/>
    <x v="0"/>
    <x v="0"/>
    <x v="0"/>
    <x v="3"/>
    <n v="75"/>
  </r>
  <r>
    <x v="37"/>
    <x v="34"/>
    <s v="CUST038"/>
    <x v="0"/>
    <n v="38"/>
    <x v="1"/>
    <x v="0"/>
    <x v="3"/>
    <x v="0"/>
    <n v="200"/>
  </r>
  <r>
    <x v="38"/>
    <x v="35"/>
    <s v="CUST039"/>
    <x v="0"/>
    <n v="23"/>
    <x v="0"/>
    <x v="1"/>
    <x v="3"/>
    <x v="2"/>
    <n v="120"/>
  </r>
  <r>
    <x v="39"/>
    <x v="36"/>
    <s v="CUST040"/>
    <x v="0"/>
    <n v="45"/>
    <x v="1"/>
    <x v="0"/>
    <x v="2"/>
    <x v="0"/>
    <n v="50"/>
  </r>
  <r>
    <x v="40"/>
    <x v="7"/>
    <s v="CUST041"/>
    <x v="0"/>
    <n v="34"/>
    <x v="0"/>
    <x v="1"/>
    <x v="1"/>
    <x v="3"/>
    <n v="50"/>
  </r>
  <r>
    <x v="41"/>
    <x v="15"/>
    <s v="CUST042"/>
    <x v="0"/>
    <n v="22"/>
    <x v="0"/>
    <x v="1"/>
    <x v="0"/>
    <x v="4"/>
    <n v="900"/>
  </r>
  <r>
    <x v="42"/>
    <x v="37"/>
    <s v="CUST043"/>
    <x v="1"/>
    <n v="48"/>
    <x v="1"/>
    <x v="1"/>
    <x v="2"/>
    <x v="4"/>
    <n v="300"/>
  </r>
  <r>
    <x v="43"/>
    <x v="38"/>
    <s v="CUST044"/>
    <x v="1"/>
    <n v="22"/>
    <x v="0"/>
    <x v="1"/>
    <x v="2"/>
    <x v="3"/>
    <n v="25"/>
  </r>
  <r>
    <x v="44"/>
    <x v="39"/>
    <s v="CUST045"/>
    <x v="1"/>
    <n v="55"/>
    <x v="2"/>
    <x v="2"/>
    <x v="2"/>
    <x v="2"/>
    <n v="30"/>
  </r>
  <r>
    <x v="45"/>
    <x v="40"/>
    <s v="CUST046"/>
    <x v="1"/>
    <n v="20"/>
    <x v="0"/>
    <x v="2"/>
    <x v="3"/>
    <x v="4"/>
    <n v="1200"/>
  </r>
  <r>
    <x v="46"/>
    <x v="41"/>
    <s v="CUST047"/>
    <x v="1"/>
    <n v="40"/>
    <x v="1"/>
    <x v="0"/>
    <x v="0"/>
    <x v="1"/>
    <n v="1500"/>
  </r>
  <r>
    <x v="47"/>
    <x v="42"/>
    <s v="CUST048"/>
    <x v="0"/>
    <n v="54"/>
    <x v="2"/>
    <x v="2"/>
    <x v="0"/>
    <x v="4"/>
    <n v="900"/>
  </r>
  <r>
    <x v="48"/>
    <x v="43"/>
    <s v="CUST049"/>
    <x v="1"/>
    <n v="54"/>
    <x v="2"/>
    <x v="2"/>
    <x v="1"/>
    <x v="1"/>
    <n v="1000"/>
  </r>
  <r>
    <x v="49"/>
    <x v="44"/>
    <s v="CUST050"/>
    <x v="1"/>
    <n v="27"/>
    <x v="0"/>
    <x v="0"/>
    <x v="0"/>
    <x v="3"/>
    <n v="75"/>
  </r>
  <r>
    <x v="50"/>
    <x v="45"/>
    <s v="CUST051"/>
    <x v="0"/>
    <n v="27"/>
    <x v="0"/>
    <x v="0"/>
    <x v="0"/>
    <x v="3"/>
    <n v="75"/>
  </r>
  <r>
    <x v="51"/>
    <x v="46"/>
    <s v="CUST052"/>
    <x v="1"/>
    <n v="36"/>
    <x v="1"/>
    <x v="0"/>
    <x v="2"/>
    <x v="4"/>
    <n v="300"/>
  </r>
  <r>
    <x v="52"/>
    <x v="47"/>
    <s v="CUST053"/>
    <x v="0"/>
    <n v="34"/>
    <x v="0"/>
    <x v="2"/>
    <x v="1"/>
    <x v="0"/>
    <n v="100"/>
  </r>
  <r>
    <x v="53"/>
    <x v="48"/>
    <s v="CUST054"/>
    <x v="1"/>
    <n v="38"/>
    <x v="1"/>
    <x v="2"/>
    <x v="0"/>
    <x v="1"/>
    <n v="1500"/>
  </r>
  <r>
    <x v="54"/>
    <x v="49"/>
    <s v="CUST055"/>
    <x v="0"/>
    <n v="31"/>
    <x v="0"/>
    <x v="0"/>
    <x v="3"/>
    <x v="2"/>
    <n v="120"/>
  </r>
  <r>
    <x v="55"/>
    <x v="50"/>
    <s v="CUST056"/>
    <x v="1"/>
    <n v="26"/>
    <x v="0"/>
    <x v="1"/>
    <x v="0"/>
    <x v="4"/>
    <n v="900"/>
  </r>
  <r>
    <x v="56"/>
    <x v="51"/>
    <s v="CUST057"/>
    <x v="1"/>
    <n v="63"/>
    <x v="2"/>
    <x v="0"/>
    <x v="2"/>
    <x v="2"/>
    <n v="30"/>
  </r>
  <r>
    <x v="57"/>
    <x v="52"/>
    <s v="CUST058"/>
    <x v="0"/>
    <n v="18"/>
    <x v="0"/>
    <x v="1"/>
    <x v="3"/>
    <x v="4"/>
    <n v="1200"/>
  </r>
  <r>
    <x v="58"/>
    <x v="53"/>
    <s v="CUST059"/>
    <x v="0"/>
    <n v="62"/>
    <x v="2"/>
    <x v="1"/>
    <x v="2"/>
    <x v="0"/>
    <n v="50"/>
  </r>
  <r>
    <x v="59"/>
    <x v="54"/>
    <s v="CUST060"/>
    <x v="0"/>
    <n v="30"/>
    <x v="0"/>
    <x v="0"/>
    <x v="0"/>
    <x v="0"/>
    <n v="150"/>
  </r>
  <r>
    <x v="60"/>
    <x v="55"/>
    <s v="CUST061"/>
    <x v="0"/>
    <n v="21"/>
    <x v="0"/>
    <x v="0"/>
    <x v="3"/>
    <x v="0"/>
    <n v="200"/>
  </r>
  <r>
    <x v="61"/>
    <x v="56"/>
    <s v="CUST062"/>
    <x v="0"/>
    <n v="18"/>
    <x v="0"/>
    <x v="0"/>
    <x v="1"/>
    <x v="0"/>
    <n v="100"/>
  </r>
  <r>
    <x v="62"/>
    <x v="57"/>
    <s v="CUST063"/>
    <x v="0"/>
    <n v="57"/>
    <x v="2"/>
    <x v="2"/>
    <x v="1"/>
    <x v="3"/>
    <n v="50"/>
  </r>
  <r>
    <x v="63"/>
    <x v="58"/>
    <s v="CUST064"/>
    <x v="0"/>
    <n v="49"/>
    <x v="1"/>
    <x v="1"/>
    <x v="3"/>
    <x v="3"/>
    <n v="100"/>
  </r>
  <r>
    <x v="64"/>
    <x v="59"/>
    <s v="CUST065"/>
    <x v="0"/>
    <n v="51"/>
    <x v="2"/>
    <x v="2"/>
    <x v="3"/>
    <x v="1"/>
    <n v="2000"/>
  </r>
  <r>
    <x v="65"/>
    <x v="60"/>
    <s v="CUST066"/>
    <x v="1"/>
    <n v="45"/>
    <x v="1"/>
    <x v="2"/>
    <x v="2"/>
    <x v="2"/>
    <n v="30"/>
  </r>
  <r>
    <x v="66"/>
    <x v="61"/>
    <s v="CUST067"/>
    <x v="1"/>
    <n v="48"/>
    <x v="1"/>
    <x v="0"/>
    <x v="3"/>
    <x v="4"/>
    <n v="1200"/>
  </r>
  <r>
    <x v="67"/>
    <x v="48"/>
    <s v="CUST068"/>
    <x v="0"/>
    <n v="25"/>
    <x v="0"/>
    <x v="2"/>
    <x v="2"/>
    <x v="4"/>
    <n v="300"/>
  </r>
  <r>
    <x v="68"/>
    <x v="17"/>
    <s v="CUST069"/>
    <x v="1"/>
    <n v="56"/>
    <x v="2"/>
    <x v="0"/>
    <x v="0"/>
    <x v="3"/>
    <n v="75"/>
  </r>
  <r>
    <x v="69"/>
    <x v="62"/>
    <s v="CUST070"/>
    <x v="1"/>
    <n v="43"/>
    <x v="1"/>
    <x v="1"/>
    <x v="2"/>
    <x v="4"/>
    <n v="300"/>
  </r>
  <r>
    <x v="70"/>
    <x v="37"/>
    <s v="CUST071"/>
    <x v="1"/>
    <n v="51"/>
    <x v="2"/>
    <x v="0"/>
    <x v="3"/>
    <x v="3"/>
    <n v="100"/>
  </r>
  <r>
    <x v="71"/>
    <x v="29"/>
    <s v="CUST072"/>
    <x v="1"/>
    <n v="20"/>
    <x v="0"/>
    <x v="2"/>
    <x v="3"/>
    <x v="1"/>
    <n v="2000"/>
  </r>
  <r>
    <x v="72"/>
    <x v="63"/>
    <s v="CUST073"/>
    <x v="0"/>
    <n v="29"/>
    <x v="0"/>
    <x v="2"/>
    <x v="0"/>
    <x v="2"/>
    <n v="90"/>
  </r>
  <r>
    <x v="73"/>
    <x v="64"/>
    <s v="CUST074"/>
    <x v="1"/>
    <n v="18"/>
    <x v="0"/>
    <x v="0"/>
    <x v="3"/>
    <x v="1"/>
    <n v="2000"/>
  </r>
  <r>
    <x v="74"/>
    <x v="65"/>
    <s v="CUST075"/>
    <x v="0"/>
    <n v="61"/>
    <x v="2"/>
    <x v="0"/>
    <x v="3"/>
    <x v="0"/>
    <n v="200"/>
  </r>
  <r>
    <x v="75"/>
    <x v="66"/>
    <s v="CUST076"/>
    <x v="1"/>
    <n v="22"/>
    <x v="0"/>
    <x v="2"/>
    <x v="1"/>
    <x v="0"/>
    <n v="100"/>
  </r>
  <r>
    <x v="76"/>
    <x v="67"/>
    <s v="CUST077"/>
    <x v="1"/>
    <n v="47"/>
    <x v="1"/>
    <x v="1"/>
    <x v="1"/>
    <x v="0"/>
    <n v="100"/>
  </r>
  <r>
    <x v="77"/>
    <x v="68"/>
    <s v="CUST078"/>
    <x v="1"/>
    <n v="47"/>
    <x v="1"/>
    <x v="1"/>
    <x v="0"/>
    <x v="1"/>
    <n v="1500"/>
  </r>
  <r>
    <x v="78"/>
    <x v="69"/>
    <s v="CUST079"/>
    <x v="0"/>
    <n v="34"/>
    <x v="0"/>
    <x v="0"/>
    <x v="2"/>
    <x v="4"/>
    <n v="300"/>
  </r>
  <r>
    <x v="79"/>
    <x v="70"/>
    <s v="CUST080"/>
    <x v="1"/>
    <n v="64"/>
    <x v="2"/>
    <x v="1"/>
    <x v="1"/>
    <x v="2"/>
    <n v="60"/>
  </r>
  <r>
    <x v="80"/>
    <x v="71"/>
    <s v="CUST081"/>
    <x v="0"/>
    <n v="40"/>
    <x v="1"/>
    <x v="2"/>
    <x v="2"/>
    <x v="0"/>
    <n v="50"/>
  </r>
  <r>
    <x v="81"/>
    <x v="24"/>
    <s v="CUST082"/>
    <x v="1"/>
    <n v="32"/>
    <x v="0"/>
    <x v="0"/>
    <x v="3"/>
    <x v="0"/>
    <n v="200"/>
  </r>
  <r>
    <x v="82"/>
    <x v="72"/>
    <s v="CUST083"/>
    <x v="0"/>
    <n v="54"/>
    <x v="2"/>
    <x v="2"/>
    <x v="1"/>
    <x v="0"/>
    <n v="100"/>
  </r>
  <r>
    <x v="83"/>
    <x v="73"/>
    <s v="CUST084"/>
    <x v="1"/>
    <n v="38"/>
    <x v="1"/>
    <x v="2"/>
    <x v="0"/>
    <x v="2"/>
    <n v="90"/>
  </r>
  <r>
    <x v="84"/>
    <x v="74"/>
    <s v="CUST085"/>
    <x v="0"/>
    <n v="31"/>
    <x v="0"/>
    <x v="1"/>
    <x v="0"/>
    <x v="0"/>
    <n v="150"/>
  </r>
  <r>
    <x v="85"/>
    <x v="75"/>
    <s v="CUST086"/>
    <x v="0"/>
    <n v="19"/>
    <x v="0"/>
    <x v="0"/>
    <x v="0"/>
    <x v="2"/>
    <n v="90"/>
  </r>
  <r>
    <x v="86"/>
    <x v="64"/>
    <s v="CUST087"/>
    <x v="1"/>
    <n v="28"/>
    <x v="0"/>
    <x v="0"/>
    <x v="1"/>
    <x v="0"/>
    <n v="100"/>
  </r>
  <r>
    <x v="87"/>
    <x v="76"/>
    <s v="CUST088"/>
    <x v="0"/>
    <n v="56"/>
    <x v="2"/>
    <x v="1"/>
    <x v="2"/>
    <x v="1"/>
    <n v="500"/>
  </r>
  <r>
    <x v="88"/>
    <x v="77"/>
    <s v="CUST089"/>
    <x v="1"/>
    <n v="55"/>
    <x v="2"/>
    <x v="2"/>
    <x v="3"/>
    <x v="1"/>
    <n v="2000"/>
  </r>
  <r>
    <x v="89"/>
    <x v="4"/>
    <s v="CUST090"/>
    <x v="1"/>
    <n v="51"/>
    <x v="2"/>
    <x v="2"/>
    <x v="2"/>
    <x v="2"/>
    <n v="30"/>
  </r>
  <r>
    <x v="90"/>
    <x v="66"/>
    <s v="CUST091"/>
    <x v="1"/>
    <n v="55"/>
    <x v="2"/>
    <x v="2"/>
    <x v="2"/>
    <x v="1"/>
    <n v="500"/>
  </r>
  <r>
    <x v="91"/>
    <x v="78"/>
    <s v="CUST092"/>
    <x v="1"/>
    <n v="51"/>
    <x v="2"/>
    <x v="2"/>
    <x v="3"/>
    <x v="2"/>
    <n v="120"/>
  </r>
  <r>
    <x v="92"/>
    <x v="37"/>
    <s v="CUST093"/>
    <x v="1"/>
    <n v="35"/>
    <x v="0"/>
    <x v="0"/>
    <x v="3"/>
    <x v="1"/>
    <n v="2000"/>
  </r>
  <r>
    <x v="93"/>
    <x v="79"/>
    <s v="CUST094"/>
    <x v="1"/>
    <n v="47"/>
    <x v="1"/>
    <x v="0"/>
    <x v="1"/>
    <x v="1"/>
    <n v="1000"/>
  </r>
  <r>
    <x v="94"/>
    <x v="0"/>
    <s v="CUST095"/>
    <x v="1"/>
    <n v="32"/>
    <x v="0"/>
    <x v="1"/>
    <x v="1"/>
    <x v="2"/>
    <n v="60"/>
  </r>
  <r>
    <x v="95"/>
    <x v="80"/>
    <s v="CUST096"/>
    <x v="1"/>
    <n v="44"/>
    <x v="1"/>
    <x v="1"/>
    <x v="1"/>
    <x v="4"/>
    <n v="600"/>
  </r>
  <r>
    <x v="96"/>
    <x v="81"/>
    <s v="CUST097"/>
    <x v="1"/>
    <n v="51"/>
    <x v="2"/>
    <x v="0"/>
    <x v="1"/>
    <x v="1"/>
    <n v="1000"/>
  </r>
  <r>
    <x v="97"/>
    <x v="26"/>
    <s v="CUST098"/>
    <x v="1"/>
    <n v="55"/>
    <x v="2"/>
    <x v="0"/>
    <x v="1"/>
    <x v="0"/>
    <n v="100"/>
  </r>
  <r>
    <x v="98"/>
    <x v="82"/>
    <s v="CUST099"/>
    <x v="1"/>
    <n v="50"/>
    <x v="1"/>
    <x v="2"/>
    <x v="3"/>
    <x v="4"/>
    <n v="1200"/>
  </r>
  <r>
    <x v="99"/>
    <x v="83"/>
    <s v="CUST100"/>
    <x v="0"/>
    <n v="41"/>
    <x v="1"/>
    <x v="2"/>
    <x v="2"/>
    <x v="2"/>
    <n v="30"/>
  </r>
  <r>
    <x v="100"/>
    <x v="84"/>
    <s v="CUST101"/>
    <x v="0"/>
    <n v="32"/>
    <x v="0"/>
    <x v="1"/>
    <x v="1"/>
    <x v="4"/>
    <n v="600"/>
  </r>
  <r>
    <x v="101"/>
    <x v="85"/>
    <s v="CUST102"/>
    <x v="1"/>
    <n v="47"/>
    <x v="1"/>
    <x v="0"/>
    <x v="1"/>
    <x v="3"/>
    <n v="50"/>
  </r>
  <r>
    <x v="102"/>
    <x v="13"/>
    <s v="CUST103"/>
    <x v="1"/>
    <n v="59"/>
    <x v="2"/>
    <x v="1"/>
    <x v="2"/>
    <x v="3"/>
    <n v="25"/>
  </r>
  <r>
    <x v="103"/>
    <x v="86"/>
    <s v="CUST104"/>
    <x v="1"/>
    <n v="34"/>
    <x v="0"/>
    <x v="0"/>
    <x v="1"/>
    <x v="1"/>
    <n v="1000"/>
  </r>
  <r>
    <x v="104"/>
    <x v="87"/>
    <s v="CUST105"/>
    <x v="1"/>
    <n v="22"/>
    <x v="0"/>
    <x v="2"/>
    <x v="2"/>
    <x v="1"/>
    <n v="500"/>
  </r>
  <r>
    <x v="105"/>
    <x v="88"/>
    <s v="CUST106"/>
    <x v="1"/>
    <n v="46"/>
    <x v="1"/>
    <x v="1"/>
    <x v="2"/>
    <x v="0"/>
    <n v="50"/>
  </r>
  <r>
    <x v="106"/>
    <x v="89"/>
    <s v="CUST107"/>
    <x v="1"/>
    <n v="21"/>
    <x v="0"/>
    <x v="1"/>
    <x v="3"/>
    <x v="4"/>
    <n v="1200"/>
  </r>
  <r>
    <x v="107"/>
    <x v="90"/>
    <s v="CUST108"/>
    <x v="1"/>
    <n v="27"/>
    <x v="0"/>
    <x v="0"/>
    <x v="0"/>
    <x v="3"/>
    <n v="75"/>
  </r>
  <r>
    <x v="108"/>
    <x v="91"/>
    <s v="CUST109"/>
    <x v="1"/>
    <n v="34"/>
    <x v="0"/>
    <x v="2"/>
    <x v="3"/>
    <x v="1"/>
    <n v="2000"/>
  </r>
  <r>
    <x v="109"/>
    <x v="86"/>
    <s v="CUST110"/>
    <x v="0"/>
    <n v="27"/>
    <x v="0"/>
    <x v="1"/>
    <x v="0"/>
    <x v="4"/>
    <n v="900"/>
  </r>
  <r>
    <x v="110"/>
    <x v="90"/>
    <s v="CUST111"/>
    <x v="1"/>
    <n v="34"/>
    <x v="0"/>
    <x v="2"/>
    <x v="0"/>
    <x v="1"/>
    <n v="1500"/>
  </r>
  <r>
    <x v="111"/>
    <x v="92"/>
    <s v="CUST112"/>
    <x v="0"/>
    <n v="37"/>
    <x v="1"/>
    <x v="1"/>
    <x v="0"/>
    <x v="1"/>
    <n v="1500"/>
  </r>
  <r>
    <x v="112"/>
    <x v="93"/>
    <s v="CUST113"/>
    <x v="1"/>
    <n v="41"/>
    <x v="1"/>
    <x v="2"/>
    <x v="1"/>
    <x v="3"/>
    <n v="50"/>
  </r>
  <r>
    <x v="113"/>
    <x v="94"/>
    <s v="CUST114"/>
    <x v="1"/>
    <n v="22"/>
    <x v="0"/>
    <x v="0"/>
    <x v="3"/>
    <x v="3"/>
    <n v="100"/>
  </r>
  <r>
    <x v="114"/>
    <x v="95"/>
    <s v="CUST115"/>
    <x v="0"/>
    <n v="51"/>
    <x v="2"/>
    <x v="1"/>
    <x v="0"/>
    <x v="1"/>
    <n v="1500"/>
  </r>
  <r>
    <x v="115"/>
    <x v="96"/>
    <s v="CUST116"/>
    <x v="1"/>
    <n v="23"/>
    <x v="0"/>
    <x v="1"/>
    <x v="2"/>
    <x v="2"/>
    <n v="30"/>
  </r>
  <r>
    <x v="116"/>
    <x v="97"/>
    <s v="CUST117"/>
    <x v="0"/>
    <n v="19"/>
    <x v="0"/>
    <x v="2"/>
    <x v="1"/>
    <x v="1"/>
    <n v="1000"/>
  </r>
  <r>
    <x v="117"/>
    <x v="42"/>
    <s v="CUST118"/>
    <x v="1"/>
    <n v="30"/>
    <x v="0"/>
    <x v="2"/>
    <x v="3"/>
    <x v="1"/>
    <n v="2000"/>
  </r>
  <r>
    <x v="118"/>
    <x v="6"/>
    <s v="CUST119"/>
    <x v="1"/>
    <n v="60"/>
    <x v="2"/>
    <x v="1"/>
    <x v="0"/>
    <x v="0"/>
    <n v="150"/>
  </r>
  <r>
    <x v="119"/>
    <x v="98"/>
    <s v="CUST120"/>
    <x v="0"/>
    <n v="60"/>
    <x v="2"/>
    <x v="0"/>
    <x v="2"/>
    <x v="0"/>
    <n v="50"/>
  </r>
  <r>
    <x v="120"/>
    <x v="21"/>
    <s v="CUST121"/>
    <x v="1"/>
    <n v="28"/>
    <x v="0"/>
    <x v="2"/>
    <x v="3"/>
    <x v="0"/>
    <n v="200"/>
  </r>
  <r>
    <x v="121"/>
    <x v="99"/>
    <s v="CUST122"/>
    <x v="0"/>
    <n v="64"/>
    <x v="2"/>
    <x v="2"/>
    <x v="3"/>
    <x v="2"/>
    <n v="120"/>
  </r>
  <r>
    <x v="122"/>
    <x v="100"/>
    <s v="CUST123"/>
    <x v="1"/>
    <n v="40"/>
    <x v="1"/>
    <x v="2"/>
    <x v="1"/>
    <x v="2"/>
    <n v="60"/>
  </r>
  <r>
    <x v="123"/>
    <x v="101"/>
    <s v="CUST124"/>
    <x v="0"/>
    <n v="33"/>
    <x v="0"/>
    <x v="1"/>
    <x v="3"/>
    <x v="1"/>
    <n v="2000"/>
  </r>
  <r>
    <x v="124"/>
    <x v="102"/>
    <s v="CUST125"/>
    <x v="0"/>
    <n v="48"/>
    <x v="1"/>
    <x v="1"/>
    <x v="1"/>
    <x v="0"/>
    <n v="100"/>
  </r>
  <r>
    <x v="125"/>
    <x v="103"/>
    <s v="CUST126"/>
    <x v="1"/>
    <n v="28"/>
    <x v="0"/>
    <x v="1"/>
    <x v="0"/>
    <x v="2"/>
    <n v="90"/>
  </r>
  <r>
    <x v="126"/>
    <x v="104"/>
    <s v="CUST127"/>
    <x v="1"/>
    <n v="33"/>
    <x v="0"/>
    <x v="1"/>
    <x v="1"/>
    <x v="3"/>
    <n v="50"/>
  </r>
  <r>
    <x v="127"/>
    <x v="53"/>
    <s v="CUST128"/>
    <x v="0"/>
    <n v="25"/>
    <x v="0"/>
    <x v="0"/>
    <x v="2"/>
    <x v="1"/>
    <n v="500"/>
  </r>
  <r>
    <x v="128"/>
    <x v="26"/>
    <s v="CUST129"/>
    <x v="1"/>
    <n v="21"/>
    <x v="0"/>
    <x v="0"/>
    <x v="1"/>
    <x v="4"/>
    <n v="600"/>
  </r>
  <r>
    <x v="129"/>
    <x v="105"/>
    <s v="CUST130"/>
    <x v="1"/>
    <n v="57"/>
    <x v="2"/>
    <x v="1"/>
    <x v="2"/>
    <x v="1"/>
    <n v="500"/>
  </r>
  <r>
    <x v="130"/>
    <x v="106"/>
    <s v="CUST131"/>
    <x v="1"/>
    <n v="21"/>
    <x v="0"/>
    <x v="0"/>
    <x v="1"/>
    <x v="4"/>
    <n v="600"/>
  </r>
  <r>
    <x v="131"/>
    <x v="107"/>
    <s v="CUST132"/>
    <x v="0"/>
    <n v="42"/>
    <x v="1"/>
    <x v="2"/>
    <x v="3"/>
    <x v="0"/>
    <n v="200"/>
  </r>
  <r>
    <x v="132"/>
    <x v="108"/>
    <s v="CUST133"/>
    <x v="0"/>
    <n v="20"/>
    <x v="0"/>
    <x v="2"/>
    <x v="0"/>
    <x v="4"/>
    <n v="900"/>
  </r>
  <r>
    <x v="133"/>
    <x v="109"/>
    <s v="CUST134"/>
    <x v="0"/>
    <n v="49"/>
    <x v="1"/>
    <x v="2"/>
    <x v="2"/>
    <x v="0"/>
    <n v="50"/>
  </r>
  <r>
    <x v="134"/>
    <x v="110"/>
    <s v="CUST135"/>
    <x v="0"/>
    <n v="20"/>
    <x v="0"/>
    <x v="1"/>
    <x v="1"/>
    <x v="3"/>
    <n v="50"/>
  </r>
  <r>
    <x v="135"/>
    <x v="111"/>
    <s v="CUST136"/>
    <x v="0"/>
    <n v="44"/>
    <x v="1"/>
    <x v="2"/>
    <x v="1"/>
    <x v="4"/>
    <n v="600"/>
  </r>
  <r>
    <x v="136"/>
    <x v="51"/>
    <s v="CUST137"/>
    <x v="0"/>
    <n v="46"/>
    <x v="1"/>
    <x v="0"/>
    <x v="1"/>
    <x v="1"/>
    <n v="1000"/>
  </r>
  <r>
    <x v="137"/>
    <x v="31"/>
    <s v="CUST138"/>
    <x v="0"/>
    <n v="49"/>
    <x v="1"/>
    <x v="1"/>
    <x v="3"/>
    <x v="0"/>
    <n v="200"/>
  </r>
  <r>
    <x v="138"/>
    <x v="112"/>
    <s v="CUST139"/>
    <x v="0"/>
    <n v="36"/>
    <x v="1"/>
    <x v="0"/>
    <x v="3"/>
    <x v="1"/>
    <n v="2000"/>
  </r>
  <r>
    <x v="139"/>
    <x v="12"/>
    <s v="CUST140"/>
    <x v="0"/>
    <n v="38"/>
    <x v="1"/>
    <x v="2"/>
    <x v="2"/>
    <x v="2"/>
    <n v="30"/>
  </r>
  <r>
    <x v="140"/>
    <x v="113"/>
    <s v="CUST141"/>
    <x v="1"/>
    <n v="22"/>
    <x v="0"/>
    <x v="2"/>
    <x v="2"/>
    <x v="0"/>
    <n v="50"/>
  </r>
  <r>
    <x v="141"/>
    <x v="114"/>
    <s v="CUST142"/>
    <x v="0"/>
    <n v="35"/>
    <x v="0"/>
    <x v="2"/>
    <x v="3"/>
    <x v="4"/>
    <n v="1200"/>
  </r>
  <r>
    <x v="142"/>
    <x v="115"/>
    <s v="CUST143"/>
    <x v="1"/>
    <n v="45"/>
    <x v="1"/>
    <x v="1"/>
    <x v="2"/>
    <x v="0"/>
    <n v="50"/>
  </r>
  <r>
    <x v="143"/>
    <x v="116"/>
    <s v="CUST144"/>
    <x v="1"/>
    <n v="59"/>
    <x v="2"/>
    <x v="0"/>
    <x v="0"/>
    <x v="1"/>
    <n v="1500"/>
  </r>
  <r>
    <x v="144"/>
    <x v="113"/>
    <s v="CUST145"/>
    <x v="1"/>
    <n v="39"/>
    <x v="1"/>
    <x v="1"/>
    <x v="0"/>
    <x v="3"/>
    <n v="75"/>
  </r>
  <r>
    <x v="145"/>
    <x v="117"/>
    <s v="CUST146"/>
    <x v="0"/>
    <n v="38"/>
    <x v="1"/>
    <x v="1"/>
    <x v="3"/>
    <x v="0"/>
    <n v="200"/>
  </r>
  <r>
    <x v="146"/>
    <x v="118"/>
    <s v="CUST147"/>
    <x v="0"/>
    <n v="23"/>
    <x v="0"/>
    <x v="2"/>
    <x v="2"/>
    <x v="4"/>
    <n v="300"/>
  </r>
  <r>
    <x v="147"/>
    <x v="119"/>
    <s v="CUST148"/>
    <x v="0"/>
    <n v="18"/>
    <x v="0"/>
    <x v="1"/>
    <x v="1"/>
    <x v="2"/>
    <n v="60"/>
  </r>
  <r>
    <x v="148"/>
    <x v="120"/>
    <s v="CUST149"/>
    <x v="0"/>
    <n v="22"/>
    <x v="0"/>
    <x v="1"/>
    <x v="0"/>
    <x v="3"/>
    <n v="75"/>
  </r>
  <r>
    <x v="149"/>
    <x v="121"/>
    <s v="CUST150"/>
    <x v="1"/>
    <n v="58"/>
    <x v="2"/>
    <x v="2"/>
    <x v="3"/>
    <x v="2"/>
    <n v="120"/>
  </r>
  <r>
    <x v="150"/>
    <x v="112"/>
    <s v="CUST151"/>
    <x v="0"/>
    <n v="29"/>
    <x v="0"/>
    <x v="1"/>
    <x v="2"/>
    <x v="0"/>
    <n v="50"/>
  </r>
  <r>
    <x v="151"/>
    <x v="122"/>
    <s v="CUST152"/>
    <x v="0"/>
    <n v="43"/>
    <x v="1"/>
    <x v="2"/>
    <x v="3"/>
    <x v="1"/>
    <n v="2000"/>
  </r>
  <r>
    <x v="152"/>
    <x v="72"/>
    <s v="CUST153"/>
    <x v="0"/>
    <n v="63"/>
    <x v="2"/>
    <x v="2"/>
    <x v="1"/>
    <x v="1"/>
    <n v="1000"/>
  </r>
  <r>
    <x v="153"/>
    <x v="45"/>
    <s v="CUST154"/>
    <x v="0"/>
    <n v="51"/>
    <x v="2"/>
    <x v="2"/>
    <x v="0"/>
    <x v="4"/>
    <n v="900"/>
  </r>
  <r>
    <x v="154"/>
    <x v="71"/>
    <s v="CUST155"/>
    <x v="0"/>
    <n v="31"/>
    <x v="0"/>
    <x v="2"/>
    <x v="3"/>
    <x v="1"/>
    <n v="2000"/>
  </r>
  <r>
    <x v="155"/>
    <x v="123"/>
    <s v="CUST156"/>
    <x v="1"/>
    <n v="43"/>
    <x v="1"/>
    <x v="1"/>
    <x v="3"/>
    <x v="3"/>
    <n v="100"/>
  </r>
  <r>
    <x v="156"/>
    <x v="33"/>
    <s v="CUST157"/>
    <x v="0"/>
    <n v="62"/>
    <x v="2"/>
    <x v="2"/>
    <x v="3"/>
    <x v="1"/>
    <n v="2000"/>
  </r>
  <r>
    <x v="157"/>
    <x v="1"/>
    <s v="CUST158"/>
    <x v="1"/>
    <n v="44"/>
    <x v="1"/>
    <x v="2"/>
    <x v="1"/>
    <x v="4"/>
    <n v="600"/>
  </r>
  <r>
    <x v="158"/>
    <x v="50"/>
    <s v="CUST159"/>
    <x v="0"/>
    <n v="26"/>
    <x v="0"/>
    <x v="1"/>
    <x v="3"/>
    <x v="0"/>
    <n v="200"/>
  </r>
  <r>
    <x v="159"/>
    <x v="124"/>
    <s v="CUST160"/>
    <x v="1"/>
    <n v="43"/>
    <x v="1"/>
    <x v="1"/>
    <x v="1"/>
    <x v="0"/>
    <n v="100"/>
  </r>
  <r>
    <x v="160"/>
    <x v="125"/>
    <s v="CUST161"/>
    <x v="0"/>
    <n v="64"/>
    <x v="2"/>
    <x v="0"/>
    <x v="1"/>
    <x v="1"/>
    <n v="1000"/>
  </r>
  <r>
    <x v="161"/>
    <x v="63"/>
    <s v="CUST162"/>
    <x v="0"/>
    <n v="39"/>
    <x v="1"/>
    <x v="1"/>
    <x v="1"/>
    <x v="2"/>
    <n v="60"/>
  </r>
  <r>
    <x v="162"/>
    <x v="126"/>
    <s v="CUST163"/>
    <x v="1"/>
    <n v="64"/>
    <x v="2"/>
    <x v="1"/>
    <x v="0"/>
    <x v="0"/>
    <n v="150"/>
  </r>
  <r>
    <x v="163"/>
    <x v="100"/>
    <s v="CUST164"/>
    <x v="1"/>
    <n v="47"/>
    <x v="1"/>
    <x v="0"/>
    <x v="0"/>
    <x v="1"/>
    <n v="1500"/>
  </r>
  <r>
    <x v="164"/>
    <x v="127"/>
    <s v="CUST165"/>
    <x v="1"/>
    <n v="60"/>
    <x v="2"/>
    <x v="1"/>
    <x v="3"/>
    <x v="4"/>
    <n v="1200"/>
  </r>
  <r>
    <x v="165"/>
    <x v="128"/>
    <s v="CUST166"/>
    <x v="0"/>
    <n v="34"/>
    <x v="0"/>
    <x v="1"/>
    <x v="3"/>
    <x v="1"/>
    <n v="2000"/>
  </r>
  <r>
    <x v="166"/>
    <x v="129"/>
    <s v="CUST167"/>
    <x v="1"/>
    <n v="43"/>
    <x v="1"/>
    <x v="1"/>
    <x v="0"/>
    <x v="0"/>
    <n v="150"/>
  </r>
  <r>
    <x v="167"/>
    <x v="130"/>
    <s v="CUST168"/>
    <x v="0"/>
    <n v="53"/>
    <x v="2"/>
    <x v="1"/>
    <x v="2"/>
    <x v="4"/>
    <n v="300"/>
  </r>
  <r>
    <x v="168"/>
    <x v="131"/>
    <s v="CUST169"/>
    <x v="0"/>
    <n v="18"/>
    <x v="0"/>
    <x v="0"/>
    <x v="0"/>
    <x v="1"/>
    <n v="1500"/>
  </r>
  <r>
    <x v="169"/>
    <x v="132"/>
    <s v="CUST170"/>
    <x v="1"/>
    <n v="25"/>
    <x v="0"/>
    <x v="1"/>
    <x v="1"/>
    <x v="3"/>
    <n v="50"/>
  </r>
  <r>
    <x v="170"/>
    <x v="0"/>
    <s v="CUST171"/>
    <x v="1"/>
    <n v="52"/>
    <x v="2"/>
    <x v="1"/>
    <x v="0"/>
    <x v="4"/>
    <n v="900"/>
  </r>
  <r>
    <x v="171"/>
    <x v="129"/>
    <s v="CUST172"/>
    <x v="0"/>
    <n v="32"/>
    <x v="0"/>
    <x v="0"/>
    <x v="1"/>
    <x v="3"/>
    <n v="50"/>
  </r>
  <r>
    <x v="172"/>
    <x v="75"/>
    <s v="CUST173"/>
    <x v="0"/>
    <n v="64"/>
    <x v="2"/>
    <x v="2"/>
    <x v="3"/>
    <x v="2"/>
    <n v="120"/>
  </r>
  <r>
    <x v="173"/>
    <x v="22"/>
    <s v="CUST174"/>
    <x v="1"/>
    <n v="39"/>
    <x v="1"/>
    <x v="0"/>
    <x v="2"/>
    <x v="4"/>
    <n v="300"/>
  </r>
  <r>
    <x v="174"/>
    <x v="111"/>
    <s v="CUST175"/>
    <x v="1"/>
    <n v="31"/>
    <x v="0"/>
    <x v="2"/>
    <x v="3"/>
    <x v="3"/>
    <n v="100"/>
  </r>
  <r>
    <x v="175"/>
    <x v="133"/>
    <s v="CUST176"/>
    <x v="1"/>
    <n v="43"/>
    <x v="1"/>
    <x v="0"/>
    <x v="1"/>
    <x v="0"/>
    <n v="100"/>
  </r>
  <r>
    <x v="176"/>
    <x v="134"/>
    <s v="CUST177"/>
    <x v="0"/>
    <n v="45"/>
    <x v="1"/>
    <x v="0"/>
    <x v="1"/>
    <x v="0"/>
    <n v="100"/>
  </r>
  <r>
    <x v="177"/>
    <x v="135"/>
    <s v="CUST178"/>
    <x v="0"/>
    <n v="40"/>
    <x v="1"/>
    <x v="1"/>
    <x v="1"/>
    <x v="2"/>
    <n v="60"/>
  </r>
  <r>
    <x v="178"/>
    <x v="136"/>
    <s v="CUST179"/>
    <x v="0"/>
    <n v="31"/>
    <x v="0"/>
    <x v="2"/>
    <x v="2"/>
    <x v="4"/>
    <n v="300"/>
  </r>
  <r>
    <x v="179"/>
    <x v="137"/>
    <s v="CUST180"/>
    <x v="0"/>
    <n v="41"/>
    <x v="1"/>
    <x v="1"/>
    <x v="0"/>
    <x v="4"/>
    <n v="900"/>
  </r>
  <r>
    <x v="180"/>
    <x v="138"/>
    <s v="CUST181"/>
    <x v="0"/>
    <n v="19"/>
    <x v="0"/>
    <x v="2"/>
    <x v="3"/>
    <x v="4"/>
    <n v="1200"/>
  </r>
  <r>
    <x v="181"/>
    <x v="139"/>
    <s v="CUST182"/>
    <x v="0"/>
    <n v="62"/>
    <x v="2"/>
    <x v="0"/>
    <x v="3"/>
    <x v="2"/>
    <n v="120"/>
  </r>
  <r>
    <x v="182"/>
    <x v="140"/>
    <s v="CUST183"/>
    <x v="1"/>
    <n v="43"/>
    <x v="1"/>
    <x v="0"/>
    <x v="0"/>
    <x v="4"/>
    <n v="900"/>
  </r>
  <r>
    <x v="183"/>
    <x v="141"/>
    <s v="CUST184"/>
    <x v="0"/>
    <n v="31"/>
    <x v="0"/>
    <x v="2"/>
    <x v="3"/>
    <x v="0"/>
    <n v="200"/>
  </r>
  <r>
    <x v="184"/>
    <x v="1"/>
    <s v="CUST185"/>
    <x v="0"/>
    <n v="24"/>
    <x v="0"/>
    <x v="1"/>
    <x v="2"/>
    <x v="3"/>
    <n v="25"/>
  </r>
  <r>
    <x v="185"/>
    <x v="53"/>
    <s v="CUST186"/>
    <x v="0"/>
    <n v="20"/>
    <x v="0"/>
    <x v="1"/>
    <x v="3"/>
    <x v="0"/>
    <n v="200"/>
  </r>
  <r>
    <x v="186"/>
    <x v="142"/>
    <s v="CUST187"/>
    <x v="1"/>
    <n v="64"/>
    <x v="2"/>
    <x v="1"/>
    <x v="1"/>
    <x v="0"/>
    <n v="100"/>
  </r>
  <r>
    <x v="187"/>
    <x v="143"/>
    <s v="CUST188"/>
    <x v="0"/>
    <n v="40"/>
    <x v="1"/>
    <x v="1"/>
    <x v="0"/>
    <x v="3"/>
    <n v="75"/>
  </r>
  <r>
    <x v="188"/>
    <x v="144"/>
    <s v="CUST189"/>
    <x v="0"/>
    <n v="63"/>
    <x v="2"/>
    <x v="0"/>
    <x v="2"/>
    <x v="0"/>
    <n v="50"/>
  </r>
  <r>
    <x v="189"/>
    <x v="145"/>
    <s v="CUST190"/>
    <x v="1"/>
    <n v="60"/>
    <x v="2"/>
    <x v="0"/>
    <x v="0"/>
    <x v="2"/>
    <n v="90"/>
  </r>
  <r>
    <x v="190"/>
    <x v="91"/>
    <s v="CUST191"/>
    <x v="0"/>
    <n v="64"/>
    <x v="2"/>
    <x v="0"/>
    <x v="2"/>
    <x v="3"/>
    <n v="25"/>
  </r>
  <r>
    <x v="191"/>
    <x v="48"/>
    <s v="CUST192"/>
    <x v="0"/>
    <n v="62"/>
    <x v="2"/>
    <x v="0"/>
    <x v="1"/>
    <x v="0"/>
    <n v="100"/>
  </r>
  <r>
    <x v="192"/>
    <x v="146"/>
    <s v="CUST193"/>
    <x v="0"/>
    <n v="35"/>
    <x v="0"/>
    <x v="0"/>
    <x v="0"/>
    <x v="1"/>
    <n v="1500"/>
  </r>
  <r>
    <x v="193"/>
    <x v="147"/>
    <s v="CUST194"/>
    <x v="0"/>
    <n v="55"/>
    <x v="2"/>
    <x v="1"/>
    <x v="3"/>
    <x v="0"/>
    <n v="200"/>
  </r>
  <r>
    <x v="194"/>
    <x v="57"/>
    <s v="CUST195"/>
    <x v="0"/>
    <n v="52"/>
    <x v="2"/>
    <x v="1"/>
    <x v="2"/>
    <x v="2"/>
    <n v="30"/>
  </r>
  <r>
    <x v="195"/>
    <x v="148"/>
    <s v="CUST196"/>
    <x v="1"/>
    <n v="32"/>
    <x v="0"/>
    <x v="1"/>
    <x v="0"/>
    <x v="4"/>
    <n v="900"/>
  </r>
  <r>
    <x v="196"/>
    <x v="149"/>
    <s v="CUST197"/>
    <x v="1"/>
    <n v="42"/>
    <x v="1"/>
    <x v="1"/>
    <x v="3"/>
    <x v="0"/>
    <n v="200"/>
  </r>
  <r>
    <x v="197"/>
    <x v="150"/>
    <s v="CUST198"/>
    <x v="1"/>
    <n v="54"/>
    <x v="2"/>
    <x v="0"/>
    <x v="0"/>
    <x v="4"/>
    <n v="900"/>
  </r>
  <r>
    <x v="198"/>
    <x v="151"/>
    <s v="CUST199"/>
    <x v="0"/>
    <n v="45"/>
    <x v="1"/>
    <x v="0"/>
    <x v="0"/>
    <x v="1"/>
    <n v="1500"/>
  </r>
  <r>
    <x v="199"/>
    <x v="152"/>
    <s v="CUST200"/>
    <x v="0"/>
    <n v="27"/>
    <x v="0"/>
    <x v="0"/>
    <x v="0"/>
    <x v="0"/>
    <n v="150"/>
  </r>
  <r>
    <x v="200"/>
    <x v="153"/>
    <s v="CUST201"/>
    <x v="0"/>
    <n v="56"/>
    <x v="2"/>
    <x v="2"/>
    <x v="2"/>
    <x v="3"/>
    <n v="25"/>
  </r>
  <r>
    <x v="201"/>
    <x v="154"/>
    <s v="CUST202"/>
    <x v="1"/>
    <n v="34"/>
    <x v="0"/>
    <x v="1"/>
    <x v="3"/>
    <x v="4"/>
    <n v="1200"/>
  </r>
  <r>
    <x v="202"/>
    <x v="42"/>
    <s v="CUST203"/>
    <x v="0"/>
    <n v="56"/>
    <x v="2"/>
    <x v="1"/>
    <x v="1"/>
    <x v="1"/>
    <n v="1000"/>
  </r>
  <r>
    <x v="203"/>
    <x v="118"/>
    <s v="CUST204"/>
    <x v="0"/>
    <n v="39"/>
    <x v="1"/>
    <x v="0"/>
    <x v="2"/>
    <x v="3"/>
    <n v="25"/>
  </r>
  <r>
    <x v="204"/>
    <x v="155"/>
    <s v="CUST205"/>
    <x v="1"/>
    <n v="43"/>
    <x v="1"/>
    <x v="1"/>
    <x v="2"/>
    <x v="3"/>
    <n v="25"/>
  </r>
  <r>
    <x v="205"/>
    <x v="12"/>
    <s v="CUST206"/>
    <x v="0"/>
    <n v="61"/>
    <x v="2"/>
    <x v="1"/>
    <x v="2"/>
    <x v="3"/>
    <n v="25"/>
  </r>
  <r>
    <x v="206"/>
    <x v="90"/>
    <s v="CUST207"/>
    <x v="1"/>
    <n v="42"/>
    <x v="1"/>
    <x v="0"/>
    <x v="1"/>
    <x v="3"/>
    <n v="50"/>
  </r>
  <r>
    <x v="207"/>
    <x v="135"/>
    <s v="CUST208"/>
    <x v="1"/>
    <n v="34"/>
    <x v="0"/>
    <x v="2"/>
    <x v="3"/>
    <x v="0"/>
    <n v="200"/>
  </r>
  <r>
    <x v="208"/>
    <x v="156"/>
    <s v="CUST209"/>
    <x v="1"/>
    <n v="30"/>
    <x v="0"/>
    <x v="2"/>
    <x v="3"/>
    <x v="0"/>
    <n v="200"/>
  </r>
  <r>
    <x v="209"/>
    <x v="157"/>
    <s v="CUST210"/>
    <x v="0"/>
    <n v="37"/>
    <x v="1"/>
    <x v="2"/>
    <x v="3"/>
    <x v="0"/>
    <n v="200"/>
  </r>
  <r>
    <x v="210"/>
    <x v="158"/>
    <s v="CUST211"/>
    <x v="0"/>
    <n v="42"/>
    <x v="1"/>
    <x v="0"/>
    <x v="0"/>
    <x v="1"/>
    <n v="1500"/>
  </r>
  <r>
    <x v="211"/>
    <x v="159"/>
    <s v="CUST212"/>
    <x v="0"/>
    <n v="21"/>
    <x v="0"/>
    <x v="1"/>
    <x v="0"/>
    <x v="1"/>
    <n v="1500"/>
  </r>
  <r>
    <x v="212"/>
    <x v="104"/>
    <s v="CUST213"/>
    <x v="0"/>
    <n v="27"/>
    <x v="0"/>
    <x v="0"/>
    <x v="0"/>
    <x v="1"/>
    <n v="1500"/>
  </r>
  <r>
    <x v="213"/>
    <x v="70"/>
    <s v="CUST214"/>
    <x v="0"/>
    <n v="20"/>
    <x v="0"/>
    <x v="0"/>
    <x v="1"/>
    <x v="2"/>
    <n v="60"/>
  </r>
  <r>
    <x v="214"/>
    <x v="23"/>
    <s v="CUST215"/>
    <x v="0"/>
    <n v="58"/>
    <x v="2"/>
    <x v="1"/>
    <x v="0"/>
    <x v="1"/>
    <n v="1500"/>
  </r>
  <r>
    <x v="215"/>
    <x v="133"/>
    <s v="CUST216"/>
    <x v="0"/>
    <n v="62"/>
    <x v="2"/>
    <x v="2"/>
    <x v="1"/>
    <x v="0"/>
    <n v="100"/>
  </r>
  <r>
    <x v="216"/>
    <x v="160"/>
    <s v="CUST217"/>
    <x v="1"/>
    <n v="35"/>
    <x v="0"/>
    <x v="2"/>
    <x v="3"/>
    <x v="0"/>
    <n v="200"/>
  </r>
  <r>
    <x v="217"/>
    <x v="161"/>
    <s v="CUST218"/>
    <x v="0"/>
    <n v="64"/>
    <x v="2"/>
    <x v="0"/>
    <x v="0"/>
    <x v="2"/>
    <n v="90"/>
  </r>
  <r>
    <x v="218"/>
    <x v="162"/>
    <s v="CUST219"/>
    <x v="1"/>
    <n v="53"/>
    <x v="2"/>
    <x v="2"/>
    <x v="0"/>
    <x v="2"/>
    <n v="90"/>
  </r>
  <r>
    <x v="219"/>
    <x v="163"/>
    <s v="CUST220"/>
    <x v="0"/>
    <n v="64"/>
    <x v="2"/>
    <x v="0"/>
    <x v="2"/>
    <x v="1"/>
    <n v="500"/>
  </r>
  <r>
    <x v="220"/>
    <x v="98"/>
    <s v="CUST221"/>
    <x v="0"/>
    <n v="39"/>
    <x v="1"/>
    <x v="0"/>
    <x v="1"/>
    <x v="4"/>
    <n v="600"/>
  </r>
  <r>
    <x v="221"/>
    <x v="164"/>
    <s v="CUST222"/>
    <x v="0"/>
    <n v="51"/>
    <x v="2"/>
    <x v="1"/>
    <x v="3"/>
    <x v="2"/>
    <n v="120"/>
  </r>
  <r>
    <x v="222"/>
    <x v="114"/>
    <s v="CUST223"/>
    <x v="1"/>
    <n v="64"/>
    <x v="2"/>
    <x v="1"/>
    <x v="2"/>
    <x v="3"/>
    <n v="25"/>
  </r>
  <r>
    <x v="223"/>
    <x v="165"/>
    <s v="CUST224"/>
    <x v="1"/>
    <n v="25"/>
    <x v="0"/>
    <x v="1"/>
    <x v="2"/>
    <x v="0"/>
    <n v="50"/>
  </r>
  <r>
    <x v="224"/>
    <x v="166"/>
    <s v="CUST225"/>
    <x v="1"/>
    <n v="57"/>
    <x v="2"/>
    <x v="0"/>
    <x v="3"/>
    <x v="3"/>
    <n v="100"/>
  </r>
  <r>
    <x v="225"/>
    <x v="28"/>
    <s v="CUST226"/>
    <x v="1"/>
    <n v="61"/>
    <x v="2"/>
    <x v="1"/>
    <x v="2"/>
    <x v="0"/>
    <n v="50"/>
  </r>
  <r>
    <x v="226"/>
    <x v="120"/>
    <s v="CUST227"/>
    <x v="0"/>
    <n v="36"/>
    <x v="1"/>
    <x v="2"/>
    <x v="1"/>
    <x v="0"/>
    <n v="100"/>
  </r>
  <r>
    <x v="227"/>
    <x v="85"/>
    <s v="CUST228"/>
    <x v="1"/>
    <n v="59"/>
    <x v="2"/>
    <x v="2"/>
    <x v="1"/>
    <x v="2"/>
    <n v="60"/>
  </r>
  <r>
    <x v="228"/>
    <x v="28"/>
    <s v="CUST229"/>
    <x v="0"/>
    <n v="58"/>
    <x v="2"/>
    <x v="0"/>
    <x v="0"/>
    <x v="2"/>
    <n v="90"/>
  </r>
  <r>
    <x v="229"/>
    <x v="26"/>
    <s v="CUST230"/>
    <x v="0"/>
    <n v="54"/>
    <x v="2"/>
    <x v="0"/>
    <x v="2"/>
    <x v="3"/>
    <n v="25"/>
  </r>
  <r>
    <x v="230"/>
    <x v="30"/>
    <s v="CUST231"/>
    <x v="1"/>
    <n v="23"/>
    <x v="0"/>
    <x v="1"/>
    <x v="0"/>
    <x v="0"/>
    <n v="150"/>
  </r>
  <r>
    <x v="231"/>
    <x v="74"/>
    <s v="CUST232"/>
    <x v="1"/>
    <n v="43"/>
    <x v="1"/>
    <x v="0"/>
    <x v="2"/>
    <x v="3"/>
    <n v="25"/>
  </r>
  <r>
    <x v="232"/>
    <x v="167"/>
    <s v="CUST233"/>
    <x v="1"/>
    <n v="51"/>
    <x v="2"/>
    <x v="0"/>
    <x v="1"/>
    <x v="4"/>
    <n v="600"/>
  </r>
  <r>
    <x v="233"/>
    <x v="168"/>
    <s v="CUST234"/>
    <x v="1"/>
    <n v="62"/>
    <x v="2"/>
    <x v="2"/>
    <x v="1"/>
    <x v="3"/>
    <n v="50"/>
  </r>
  <r>
    <x v="234"/>
    <x v="169"/>
    <s v="CUST235"/>
    <x v="1"/>
    <n v="23"/>
    <x v="0"/>
    <x v="2"/>
    <x v="1"/>
    <x v="1"/>
    <n v="1000"/>
  </r>
  <r>
    <x v="235"/>
    <x v="85"/>
    <s v="CUST236"/>
    <x v="1"/>
    <n v="54"/>
    <x v="2"/>
    <x v="1"/>
    <x v="2"/>
    <x v="3"/>
    <n v="25"/>
  </r>
  <r>
    <x v="236"/>
    <x v="170"/>
    <s v="CUST237"/>
    <x v="1"/>
    <n v="50"/>
    <x v="1"/>
    <x v="0"/>
    <x v="1"/>
    <x v="1"/>
    <n v="1000"/>
  </r>
  <r>
    <x v="237"/>
    <x v="13"/>
    <s v="CUST238"/>
    <x v="1"/>
    <n v="39"/>
    <x v="1"/>
    <x v="0"/>
    <x v="2"/>
    <x v="1"/>
    <n v="500"/>
  </r>
  <r>
    <x v="238"/>
    <x v="171"/>
    <s v="CUST239"/>
    <x v="0"/>
    <n v="38"/>
    <x v="1"/>
    <x v="2"/>
    <x v="0"/>
    <x v="1"/>
    <n v="1500"/>
  </r>
  <r>
    <x v="239"/>
    <x v="74"/>
    <s v="CUST240"/>
    <x v="1"/>
    <n v="23"/>
    <x v="0"/>
    <x v="0"/>
    <x v="2"/>
    <x v="4"/>
    <n v="300"/>
  </r>
  <r>
    <x v="240"/>
    <x v="172"/>
    <s v="CUST241"/>
    <x v="1"/>
    <n v="23"/>
    <x v="0"/>
    <x v="2"/>
    <x v="0"/>
    <x v="3"/>
    <n v="75"/>
  </r>
  <r>
    <x v="241"/>
    <x v="173"/>
    <s v="CUST242"/>
    <x v="0"/>
    <n v="21"/>
    <x v="0"/>
    <x v="1"/>
    <x v="2"/>
    <x v="3"/>
    <n v="25"/>
  </r>
  <r>
    <x v="242"/>
    <x v="29"/>
    <s v="CUST243"/>
    <x v="1"/>
    <n v="47"/>
    <x v="1"/>
    <x v="2"/>
    <x v="0"/>
    <x v="4"/>
    <n v="900"/>
  </r>
  <r>
    <x v="243"/>
    <x v="174"/>
    <s v="CUST244"/>
    <x v="0"/>
    <n v="28"/>
    <x v="0"/>
    <x v="0"/>
    <x v="1"/>
    <x v="0"/>
    <n v="100"/>
  </r>
  <r>
    <x v="244"/>
    <x v="147"/>
    <s v="CUST245"/>
    <x v="0"/>
    <n v="47"/>
    <x v="1"/>
    <x v="1"/>
    <x v="0"/>
    <x v="2"/>
    <n v="90"/>
  </r>
  <r>
    <x v="245"/>
    <x v="175"/>
    <s v="CUST246"/>
    <x v="1"/>
    <n v="48"/>
    <x v="1"/>
    <x v="2"/>
    <x v="1"/>
    <x v="3"/>
    <n v="50"/>
  </r>
  <r>
    <x v="246"/>
    <x v="135"/>
    <s v="CUST247"/>
    <x v="0"/>
    <n v="41"/>
    <x v="1"/>
    <x v="2"/>
    <x v="1"/>
    <x v="2"/>
    <n v="60"/>
  </r>
  <r>
    <x v="247"/>
    <x v="176"/>
    <s v="CUST248"/>
    <x v="0"/>
    <n v="26"/>
    <x v="0"/>
    <x v="1"/>
    <x v="0"/>
    <x v="4"/>
    <n v="900"/>
  </r>
  <r>
    <x v="248"/>
    <x v="177"/>
    <s v="CUST249"/>
    <x v="0"/>
    <n v="20"/>
    <x v="0"/>
    <x v="1"/>
    <x v="2"/>
    <x v="0"/>
    <n v="50"/>
  </r>
  <r>
    <x v="249"/>
    <x v="54"/>
    <s v="CUST250"/>
    <x v="0"/>
    <n v="48"/>
    <x v="1"/>
    <x v="2"/>
    <x v="2"/>
    <x v="0"/>
    <n v="50"/>
  </r>
  <r>
    <x v="250"/>
    <x v="178"/>
    <s v="CUST251"/>
    <x v="1"/>
    <n v="57"/>
    <x v="2"/>
    <x v="0"/>
    <x v="3"/>
    <x v="0"/>
    <n v="200"/>
  </r>
  <r>
    <x v="251"/>
    <x v="179"/>
    <s v="CUST252"/>
    <x v="0"/>
    <n v="54"/>
    <x v="2"/>
    <x v="2"/>
    <x v="2"/>
    <x v="4"/>
    <n v="300"/>
  </r>
  <r>
    <x v="252"/>
    <x v="178"/>
    <s v="CUST253"/>
    <x v="1"/>
    <n v="53"/>
    <x v="2"/>
    <x v="1"/>
    <x v="3"/>
    <x v="1"/>
    <n v="2000"/>
  </r>
  <r>
    <x v="253"/>
    <x v="180"/>
    <s v="CUST254"/>
    <x v="0"/>
    <n v="41"/>
    <x v="1"/>
    <x v="2"/>
    <x v="2"/>
    <x v="1"/>
    <n v="500"/>
  </r>
  <r>
    <x v="254"/>
    <x v="181"/>
    <s v="CUST255"/>
    <x v="0"/>
    <n v="48"/>
    <x v="1"/>
    <x v="1"/>
    <x v="2"/>
    <x v="2"/>
    <n v="30"/>
  </r>
  <r>
    <x v="255"/>
    <x v="182"/>
    <s v="CUST256"/>
    <x v="0"/>
    <n v="23"/>
    <x v="0"/>
    <x v="1"/>
    <x v="1"/>
    <x v="1"/>
    <n v="1000"/>
  </r>
  <r>
    <x v="256"/>
    <x v="38"/>
    <s v="CUST257"/>
    <x v="0"/>
    <n v="19"/>
    <x v="0"/>
    <x v="0"/>
    <x v="3"/>
    <x v="1"/>
    <n v="2000"/>
  </r>
  <r>
    <x v="257"/>
    <x v="151"/>
    <s v="CUST258"/>
    <x v="1"/>
    <n v="37"/>
    <x v="1"/>
    <x v="1"/>
    <x v="2"/>
    <x v="0"/>
    <n v="50"/>
  </r>
  <r>
    <x v="258"/>
    <x v="183"/>
    <s v="CUST259"/>
    <x v="1"/>
    <n v="45"/>
    <x v="1"/>
    <x v="1"/>
    <x v="3"/>
    <x v="0"/>
    <n v="200"/>
  </r>
  <r>
    <x v="259"/>
    <x v="68"/>
    <s v="CUST260"/>
    <x v="0"/>
    <n v="28"/>
    <x v="0"/>
    <x v="0"/>
    <x v="1"/>
    <x v="2"/>
    <n v="60"/>
  </r>
  <r>
    <x v="260"/>
    <x v="12"/>
    <s v="CUST261"/>
    <x v="0"/>
    <n v="21"/>
    <x v="0"/>
    <x v="1"/>
    <x v="1"/>
    <x v="3"/>
    <n v="50"/>
  </r>
  <r>
    <x v="261"/>
    <x v="184"/>
    <s v="CUST262"/>
    <x v="1"/>
    <n v="32"/>
    <x v="0"/>
    <x v="0"/>
    <x v="3"/>
    <x v="2"/>
    <n v="120"/>
  </r>
  <r>
    <x v="262"/>
    <x v="117"/>
    <s v="CUST263"/>
    <x v="0"/>
    <n v="23"/>
    <x v="0"/>
    <x v="0"/>
    <x v="1"/>
    <x v="2"/>
    <n v="60"/>
  </r>
  <r>
    <x v="263"/>
    <x v="185"/>
    <s v="CUST264"/>
    <x v="0"/>
    <n v="47"/>
    <x v="1"/>
    <x v="1"/>
    <x v="0"/>
    <x v="4"/>
    <n v="900"/>
  </r>
  <r>
    <x v="264"/>
    <x v="186"/>
    <s v="CUST265"/>
    <x v="0"/>
    <n v="55"/>
    <x v="2"/>
    <x v="1"/>
    <x v="0"/>
    <x v="4"/>
    <n v="900"/>
  </r>
  <r>
    <x v="265"/>
    <x v="187"/>
    <s v="CUST266"/>
    <x v="1"/>
    <n v="19"/>
    <x v="0"/>
    <x v="2"/>
    <x v="1"/>
    <x v="2"/>
    <n v="60"/>
  </r>
  <r>
    <x v="266"/>
    <x v="188"/>
    <s v="CUST267"/>
    <x v="1"/>
    <n v="32"/>
    <x v="0"/>
    <x v="0"/>
    <x v="0"/>
    <x v="2"/>
    <n v="90"/>
  </r>
  <r>
    <x v="267"/>
    <x v="189"/>
    <s v="CUST268"/>
    <x v="1"/>
    <n v="28"/>
    <x v="0"/>
    <x v="2"/>
    <x v="2"/>
    <x v="2"/>
    <n v="30"/>
  </r>
  <r>
    <x v="268"/>
    <x v="190"/>
    <s v="CUST269"/>
    <x v="0"/>
    <n v="25"/>
    <x v="0"/>
    <x v="1"/>
    <x v="3"/>
    <x v="1"/>
    <n v="2000"/>
  </r>
  <r>
    <x v="269"/>
    <x v="191"/>
    <s v="CUST270"/>
    <x v="0"/>
    <n v="43"/>
    <x v="1"/>
    <x v="2"/>
    <x v="2"/>
    <x v="4"/>
    <n v="300"/>
  </r>
  <r>
    <x v="270"/>
    <x v="165"/>
    <s v="CUST271"/>
    <x v="1"/>
    <n v="62"/>
    <x v="2"/>
    <x v="0"/>
    <x v="3"/>
    <x v="2"/>
    <n v="120"/>
  </r>
  <r>
    <x v="271"/>
    <x v="192"/>
    <s v="CUST272"/>
    <x v="1"/>
    <n v="61"/>
    <x v="2"/>
    <x v="2"/>
    <x v="1"/>
    <x v="0"/>
    <n v="100"/>
  </r>
  <r>
    <x v="272"/>
    <x v="193"/>
    <s v="CUST273"/>
    <x v="1"/>
    <n v="22"/>
    <x v="0"/>
    <x v="0"/>
    <x v="2"/>
    <x v="0"/>
    <n v="50"/>
  </r>
  <r>
    <x v="273"/>
    <x v="55"/>
    <s v="CUST274"/>
    <x v="1"/>
    <n v="23"/>
    <x v="0"/>
    <x v="1"/>
    <x v="1"/>
    <x v="1"/>
    <n v="1000"/>
  </r>
  <r>
    <x v="274"/>
    <x v="181"/>
    <s v="CUST275"/>
    <x v="0"/>
    <n v="43"/>
    <x v="1"/>
    <x v="1"/>
    <x v="1"/>
    <x v="1"/>
    <n v="1000"/>
  </r>
  <r>
    <x v="275"/>
    <x v="45"/>
    <s v="CUST276"/>
    <x v="1"/>
    <n v="21"/>
    <x v="0"/>
    <x v="0"/>
    <x v="3"/>
    <x v="3"/>
    <n v="100"/>
  </r>
  <r>
    <x v="276"/>
    <x v="27"/>
    <s v="CUST277"/>
    <x v="0"/>
    <n v="36"/>
    <x v="1"/>
    <x v="1"/>
    <x v="3"/>
    <x v="3"/>
    <n v="100"/>
  </r>
  <r>
    <x v="277"/>
    <x v="6"/>
    <s v="CUST278"/>
    <x v="1"/>
    <n v="37"/>
    <x v="1"/>
    <x v="1"/>
    <x v="3"/>
    <x v="3"/>
    <n v="100"/>
  </r>
  <r>
    <x v="278"/>
    <x v="12"/>
    <s v="CUST279"/>
    <x v="0"/>
    <n v="50"/>
    <x v="1"/>
    <x v="1"/>
    <x v="2"/>
    <x v="1"/>
    <n v="500"/>
  </r>
  <r>
    <x v="279"/>
    <x v="194"/>
    <s v="CUST280"/>
    <x v="1"/>
    <n v="37"/>
    <x v="1"/>
    <x v="1"/>
    <x v="0"/>
    <x v="1"/>
    <n v="1500"/>
  </r>
  <r>
    <x v="280"/>
    <x v="29"/>
    <s v="CUST281"/>
    <x v="1"/>
    <n v="29"/>
    <x v="0"/>
    <x v="0"/>
    <x v="3"/>
    <x v="1"/>
    <n v="2000"/>
  </r>
  <r>
    <x v="281"/>
    <x v="78"/>
    <s v="CUST282"/>
    <x v="1"/>
    <n v="64"/>
    <x v="2"/>
    <x v="2"/>
    <x v="3"/>
    <x v="0"/>
    <n v="200"/>
  </r>
  <r>
    <x v="282"/>
    <x v="193"/>
    <s v="CUST283"/>
    <x v="1"/>
    <n v="18"/>
    <x v="0"/>
    <x v="2"/>
    <x v="2"/>
    <x v="1"/>
    <n v="500"/>
  </r>
  <r>
    <x v="283"/>
    <x v="195"/>
    <s v="CUST284"/>
    <x v="0"/>
    <n v="43"/>
    <x v="1"/>
    <x v="1"/>
    <x v="3"/>
    <x v="0"/>
    <n v="200"/>
  </r>
  <r>
    <x v="284"/>
    <x v="196"/>
    <s v="CUST285"/>
    <x v="1"/>
    <n v="31"/>
    <x v="0"/>
    <x v="2"/>
    <x v="2"/>
    <x v="3"/>
    <n v="25"/>
  </r>
  <r>
    <x v="285"/>
    <x v="153"/>
    <s v="CUST286"/>
    <x v="0"/>
    <n v="55"/>
    <x v="2"/>
    <x v="2"/>
    <x v="1"/>
    <x v="3"/>
    <n v="50"/>
  </r>
  <r>
    <x v="286"/>
    <x v="189"/>
    <s v="CUST287"/>
    <x v="0"/>
    <n v="54"/>
    <x v="2"/>
    <x v="1"/>
    <x v="3"/>
    <x v="3"/>
    <n v="100"/>
  </r>
  <r>
    <x v="287"/>
    <x v="197"/>
    <s v="CUST288"/>
    <x v="0"/>
    <n v="28"/>
    <x v="0"/>
    <x v="1"/>
    <x v="3"/>
    <x v="2"/>
    <n v="120"/>
  </r>
  <r>
    <x v="288"/>
    <x v="198"/>
    <s v="CUST289"/>
    <x v="0"/>
    <n v="53"/>
    <x v="2"/>
    <x v="2"/>
    <x v="1"/>
    <x v="2"/>
    <n v="60"/>
  </r>
  <r>
    <x v="289"/>
    <x v="135"/>
    <s v="CUST290"/>
    <x v="1"/>
    <n v="30"/>
    <x v="0"/>
    <x v="0"/>
    <x v="1"/>
    <x v="4"/>
    <n v="600"/>
  </r>
  <r>
    <x v="290"/>
    <x v="199"/>
    <s v="CUST291"/>
    <x v="0"/>
    <n v="60"/>
    <x v="2"/>
    <x v="1"/>
    <x v="1"/>
    <x v="4"/>
    <n v="600"/>
  </r>
  <r>
    <x v="291"/>
    <x v="15"/>
    <s v="CUST292"/>
    <x v="0"/>
    <n v="20"/>
    <x v="0"/>
    <x v="0"/>
    <x v="3"/>
    <x v="4"/>
    <n v="1200"/>
  </r>
  <r>
    <x v="292"/>
    <x v="173"/>
    <s v="CUST293"/>
    <x v="0"/>
    <n v="50"/>
    <x v="1"/>
    <x v="2"/>
    <x v="0"/>
    <x v="2"/>
    <n v="90"/>
  </r>
  <r>
    <x v="293"/>
    <x v="200"/>
    <s v="CUST294"/>
    <x v="1"/>
    <n v="23"/>
    <x v="0"/>
    <x v="1"/>
    <x v="0"/>
    <x v="2"/>
    <n v="90"/>
  </r>
  <r>
    <x v="294"/>
    <x v="180"/>
    <s v="CUST295"/>
    <x v="1"/>
    <n v="27"/>
    <x v="0"/>
    <x v="0"/>
    <x v="0"/>
    <x v="4"/>
    <n v="900"/>
  </r>
  <r>
    <x v="295"/>
    <x v="147"/>
    <s v="CUST296"/>
    <x v="1"/>
    <n v="22"/>
    <x v="0"/>
    <x v="1"/>
    <x v="3"/>
    <x v="4"/>
    <n v="1200"/>
  </r>
  <r>
    <x v="296"/>
    <x v="201"/>
    <s v="CUST297"/>
    <x v="1"/>
    <n v="40"/>
    <x v="1"/>
    <x v="2"/>
    <x v="1"/>
    <x v="1"/>
    <n v="1000"/>
  </r>
  <r>
    <x v="297"/>
    <x v="175"/>
    <s v="CUST298"/>
    <x v="0"/>
    <n v="27"/>
    <x v="0"/>
    <x v="0"/>
    <x v="3"/>
    <x v="4"/>
    <n v="1200"/>
  </r>
  <r>
    <x v="298"/>
    <x v="87"/>
    <s v="CUST299"/>
    <x v="0"/>
    <n v="61"/>
    <x v="2"/>
    <x v="2"/>
    <x v="1"/>
    <x v="1"/>
    <n v="1000"/>
  </r>
  <r>
    <x v="299"/>
    <x v="169"/>
    <s v="CUST300"/>
    <x v="1"/>
    <n v="19"/>
    <x v="0"/>
    <x v="2"/>
    <x v="3"/>
    <x v="0"/>
    <n v="200"/>
  </r>
  <r>
    <x v="300"/>
    <x v="154"/>
    <s v="CUST301"/>
    <x v="0"/>
    <n v="30"/>
    <x v="0"/>
    <x v="1"/>
    <x v="3"/>
    <x v="2"/>
    <n v="120"/>
  </r>
  <r>
    <x v="301"/>
    <x v="37"/>
    <s v="CUST302"/>
    <x v="0"/>
    <n v="57"/>
    <x v="2"/>
    <x v="0"/>
    <x v="1"/>
    <x v="4"/>
    <n v="600"/>
  </r>
  <r>
    <x v="302"/>
    <x v="126"/>
    <s v="CUST303"/>
    <x v="0"/>
    <n v="19"/>
    <x v="0"/>
    <x v="2"/>
    <x v="0"/>
    <x v="2"/>
    <n v="90"/>
  </r>
  <r>
    <x v="303"/>
    <x v="202"/>
    <s v="CUST304"/>
    <x v="1"/>
    <n v="37"/>
    <x v="1"/>
    <x v="2"/>
    <x v="1"/>
    <x v="2"/>
    <n v="60"/>
  </r>
  <r>
    <x v="304"/>
    <x v="42"/>
    <s v="CUST305"/>
    <x v="1"/>
    <n v="18"/>
    <x v="0"/>
    <x v="0"/>
    <x v="2"/>
    <x v="2"/>
    <n v="30"/>
  </r>
  <r>
    <x v="305"/>
    <x v="63"/>
    <s v="CUST306"/>
    <x v="0"/>
    <n v="54"/>
    <x v="2"/>
    <x v="2"/>
    <x v="2"/>
    <x v="0"/>
    <n v="50"/>
  </r>
  <r>
    <x v="306"/>
    <x v="203"/>
    <s v="CUST307"/>
    <x v="1"/>
    <n v="26"/>
    <x v="0"/>
    <x v="2"/>
    <x v="1"/>
    <x v="3"/>
    <n v="50"/>
  </r>
  <r>
    <x v="307"/>
    <x v="12"/>
    <s v="CUST308"/>
    <x v="1"/>
    <n v="34"/>
    <x v="0"/>
    <x v="0"/>
    <x v="3"/>
    <x v="4"/>
    <n v="1200"/>
  </r>
  <r>
    <x v="308"/>
    <x v="204"/>
    <s v="CUST309"/>
    <x v="1"/>
    <n v="26"/>
    <x v="0"/>
    <x v="0"/>
    <x v="2"/>
    <x v="3"/>
    <n v="25"/>
  </r>
  <r>
    <x v="309"/>
    <x v="205"/>
    <s v="CUST310"/>
    <x v="1"/>
    <n v="28"/>
    <x v="0"/>
    <x v="0"/>
    <x v="2"/>
    <x v="3"/>
    <n v="25"/>
  </r>
  <r>
    <x v="310"/>
    <x v="59"/>
    <s v="CUST311"/>
    <x v="1"/>
    <n v="32"/>
    <x v="0"/>
    <x v="0"/>
    <x v="3"/>
    <x v="3"/>
    <n v="100"/>
  </r>
  <r>
    <x v="311"/>
    <x v="206"/>
    <s v="CUST312"/>
    <x v="0"/>
    <n v="41"/>
    <x v="1"/>
    <x v="1"/>
    <x v="3"/>
    <x v="2"/>
    <n v="120"/>
  </r>
  <r>
    <x v="312"/>
    <x v="34"/>
    <s v="CUST313"/>
    <x v="1"/>
    <n v="55"/>
    <x v="2"/>
    <x v="0"/>
    <x v="0"/>
    <x v="1"/>
    <n v="1500"/>
  </r>
  <r>
    <x v="313"/>
    <x v="181"/>
    <s v="CUST314"/>
    <x v="0"/>
    <n v="52"/>
    <x v="2"/>
    <x v="1"/>
    <x v="3"/>
    <x v="2"/>
    <n v="120"/>
  </r>
  <r>
    <x v="314"/>
    <x v="207"/>
    <s v="CUST315"/>
    <x v="0"/>
    <n v="47"/>
    <x v="1"/>
    <x v="1"/>
    <x v="1"/>
    <x v="2"/>
    <n v="60"/>
  </r>
  <r>
    <x v="315"/>
    <x v="16"/>
    <s v="CUST316"/>
    <x v="1"/>
    <n v="48"/>
    <x v="1"/>
    <x v="1"/>
    <x v="1"/>
    <x v="3"/>
    <n v="50"/>
  </r>
  <r>
    <x v="316"/>
    <x v="144"/>
    <s v="CUST317"/>
    <x v="0"/>
    <n v="22"/>
    <x v="0"/>
    <x v="2"/>
    <x v="0"/>
    <x v="2"/>
    <n v="90"/>
  </r>
  <r>
    <x v="317"/>
    <x v="208"/>
    <s v="CUST318"/>
    <x v="0"/>
    <n v="61"/>
    <x v="2"/>
    <x v="1"/>
    <x v="2"/>
    <x v="3"/>
    <n v="25"/>
  </r>
  <r>
    <x v="318"/>
    <x v="209"/>
    <s v="CUST319"/>
    <x v="0"/>
    <n v="31"/>
    <x v="0"/>
    <x v="1"/>
    <x v="2"/>
    <x v="1"/>
    <n v="500"/>
  </r>
  <r>
    <x v="319"/>
    <x v="190"/>
    <s v="CUST320"/>
    <x v="1"/>
    <n v="28"/>
    <x v="0"/>
    <x v="2"/>
    <x v="3"/>
    <x v="4"/>
    <n v="1200"/>
  </r>
  <r>
    <x v="320"/>
    <x v="210"/>
    <s v="CUST321"/>
    <x v="1"/>
    <n v="26"/>
    <x v="0"/>
    <x v="2"/>
    <x v="1"/>
    <x v="3"/>
    <n v="50"/>
  </r>
  <r>
    <x v="321"/>
    <x v="144"/>
    <s v="CUST322"/>
    <x v="0"/>
    <n v="51"/>
    <x v="2"/>
    <x v="2"/>
    <x v="2"/>
    <x v="1"/>
    <n v="500"/>
  </r>
  <r>
    <x v="322"/>
    <x v="197"/>
    <s v="CUST323"/>
    <x v="1"/>
    <n v="29"/>
    <x v="0"/>
    <x v="0"/>
    <x v="0"/>
    <x v="4"/>
    <n v="900"/>
  </r>
  <r>
    <x v="323"/>
    <x v="101"/>
    <s v="CUST324"/>
    <x v="1"/>
    <n v="52"/>
    <x v="2"/>
    <x v="2"/>
    <x v="0"/>
    <x v="0"/>
    <n v="150"/>
  </r>
  <r>
    <x v="324"/>
    <x v="211"/>
    <s v="CUST325"/>
    <x v="1"/>
    <n v="52"/>
    <x v="2"/>
    <x v="2"/>
    <x v="1"/>
    <x v="3"/>
    <n v="50"/>
  </r>
  <r>
    <x v="325"/>
    <x v="212"/>
    <s v="CUST326"/>
    <x v="1"/>
    <n v="18"/>
    <x v="0"/>
    <x v="1"/>
    <x v="0"/>
    <x v="3"/>
    <n v="75"/>
  </r>
  <r>
    <x v="326"/>
    <x v="136"/>
    <s v="CUST327"/>
    <x v="0"/>
    <n v="57"/>
    <x v="2"/>
    <x v="2"/>
    <x v="0"/>
    <x v="0"/>
    <n v="150"/>
  </r>
  <r>
    <x v="327"/>
    <x v="125"/>
    <s v="CUST328"/>
    <x v="0"/>
    <n v="39"/>
    <x v="1"/>
    <x v="0"/>
    <x v="1"/>
    <x v="0"/>
    <n v="100"/>
  </r>
  <r>
    <x v="328"/>
    <x v="144"/>
    <s v="CUST329"/>
    <x v="1"/>
    <n v="46"/>
    <x v="1"/>
    <x v="2"/>
    <x v="3"/>
    <x v="3"/>
    <n v="100"/>
  </r>
  <r>
    <x v="329"/>
    <x v="106"/>
    <s v="CUST330"/>
    <x v="1"/>
    <n v="25"/>
    <x v="0"/>
    <x v="0"/>
    <x v="3"/>
    <x v="0"/>
    <n v="200"/>
  </r>
  <r>
    <x v="330"/>
    <x v="213"/>
    <s v="CUST331"/>
    <x v="0"/>
    <n v="28"/>
    <x v="0"/>
    <x v="2"/>
    <x v="0"/>
    <x v="2"/>
    <n v="90"/>
  </r>
  <r>
    <x v="331"/>
    <x v="214"/>
    <s v="CUST332"/>
    <x v="0"/>
    <n v="58"/>
    <x v="2"/>
    <x v="2"/>
    <x v="3"/>
    <x v="4"/>
    <n v="1200"/>
  </r>
  <r>
    <x v="332"/>
    <x v="57"/>
    <s v="CUST333"/>
    <x v="1"/>
    <n v="54"/>
    <x v="2"/>
    <x v="2"/>
    <x v="3"/>
    <x v="4"/>
    <n v="1200"/>
  </r>
  <r>
    <x v="333"/>
    <x v="215"/>
    <s v="CUST334"/>
    <x v="0"/>
    <n v="31"/>
    <x v="0"/>
    <x v="2"/>
    <x v="0"/>
    <x v="4"/>
    <n v="900"/>
  </r>
  <r>
    <x v="334"/>
    <x v="170"/>
    <s v="CUST335"/>
    <x v="1"/>
    <n v="47"/>
    <x v="1"/>
    <x v="0"/>
    <x v="3"/>
    <x v="2"/>
    <n v="120"/>
  </r>
  <r>
    <x v="335"/>
    <x v="216"/>
    <s v="CUST336"/>
    <x v="1"/>
    <n v="52"/>
    <x v="2"/>
    <x v="0"/>
    <x v="0"/>
    <x v="0"/>
    <n v="150"/>
  </r>
  <r>
    <x v="336"/>
    <x v="217"/>
    <s v="CUST337"/>
    <x v="0"/>
    <n v="38"/>
    <x v="1"/>
    <x v="1"/>
    <x v="2"/>
    <x v="1"/>
    <n v="500"/>
  </r>
  <r>
    <x v="337"/>
    <x v="191"/>
    <s v="CUST338"/>
    <x v="0"/>
    <n v="54"/>
    <x v="2"/>
    <x v="0"/>
    <x v="1"/>
    <x v="0"/>
    <n v="100"/>
  </r>
  <r>
    <x v="338"/>
    <x v="163"/>
    <s v="CUST339"/>
    <x v="1"/>
    <n v="22"/>
    <x v="0"/>
    <x v="2"/>
    <x v="1"/>
    <x v="3"/>
    <n v="50"/>
  </r>
  <r>
    <x v="339"/>
    <x v="218"/>
    <s v="CUST340"/>
    <x v="1"/>
    <n v="36"/>
    <x v="1"/>
    <x v="1"/>
    <x v="3"/>
    <x v="4"/>
    <n v="1200"/>
  </r>
  <r>
    <x v="340"/>
    <x v="98"/>
    <s v="CUST341"/>
    <x v="0"/>
    <n v="31"/>
    <x v="0"/>
    <x v="1"/>
    <x v="3"/>
    <x v="0"/>
    <n v="200"/>
  </r>
  <r>
    <x v="341"/>
    <x v="208"/>
    <s v="CUST342"/>
    <x v="1"/>
    <n v="43"/>
    <x v="1"/>
    <x v="1"/>
    <x v="3"/>
    <x v="1"/>
    <n v="2000"/>
  </r>
  <r>
    <x v="342"/>
    <x v="215"/>
    <s v="CUST343"/>
    <x v="0"/>
    <n v="21"/>
    <x v="0"/>
    <x v="2"/>
    <x v="1"/>
    <x v="3"/>
    <n v="50"/>
  </r>
  <r>
    <x v="343"/>
    <x v="219"/>
    <s v="CUST344"/>
    <x v="1"/>
    <n v="42"/>
    <x v="1"/>
    <x v="0"/>
    <x v="2"/>
    <x v="2"/>
    <n v="30"/>
  </r>
  <r>
    <x v="344"/>
    <x v="220"/>
    <s v="CUST345"/>
    <x v="0"/>
    <n v="62"/>
    <x v="2"/>
    <x v="2"/>
    <x v="2"/>
    <x v="2"/>
    <n v="30"/>
  </r>
  <r>
    <x v="345"/>
    <x v="213"/>
    <s v="CUST346"/>
    <x v="0"/>
    <n v="59"/>
    <x v="2"/>
    <x v="1"/>
    <x v="1"/>
    <x v="1"/>
    <n v="1000"/>
  </r>
  <r>
    <x v="346"/>
    <x v="25"/>
    <s v="CUST347"/>
    <x v="0"/>
    <n v="42"/>
    <x v="1"/>
    <x v="2"/>
    <x v="2"/>
    <x v="3"/>
    <n v="25"/>
  </r>
  <r>
    <x v="347"/>
    <x v="221"/>
    <s v="CUST348"/>
    <x v="1"/>
    <n v="35"/>
    <x v="0"/>
    <x v="2"/>
    <x v="1"/>
    <x v="4"/>
    <n v="600"/>
  </r>
  <r>
    <x v="348"/>
    <x v="103"/>
    <s v="CUST349"/>
    <x v="1"/>
    <n v="57"/>
    <x v="2"/>
    <x v="0"/>
    <x v="2"/>
    <x v="0"/>
    <n v="50"/>
  </r>
  <r>
    <x v="349"/>
    <x v="222"/>
    <s v="CUST350"/>
    <x v="0"/>
    <n v="25"/>
    <x v="0"/>
    <x v="0"/>
    <x v="0"/>
    <x v="3"/>
    <n v="75"/>
  </r>
  <r>
    <x v="350"/>
    <x v="223"/>
    <s v="CUST351"/>
    <x v="1"/>
    <n v="56"/>
    <x v="2"/>
    <x v="1"/>
    <x v="0"/>
    <x v="2"/>
    <n v="90"/>
  </r>
  <r>
    <x v="351"/>
    <x v="86"/>
    <s v="CUST352"/>
    <x v="0"/>
    <n v="57"/>
    <x v="2"/>
    <x v="2"/>
    <x v="1"/>
    <x v="1"/>
    <n v="1000"/>
  </r>
  <r>
    <x v="352"/>
    <x v="224"/>
    <s v="CUST353"/>
    <x v="0"/>
    <n v="31"/>
    <x v="0"/>
    <x v="2"/>
    <x v="2"/>
    <x v="1"/>
    <n v="500"/>
  </r>
  <r>
    <x v="353"/>
    <x v="225"/>
    <s v="CUST354"/>
    <x v="1"/>
    <n v="49"/>
    <x v="1"/>
    <x v="0"/>
    <x v="3"/>
    <x v="0"/>
    <n v="200"/>
  </r>
  <r>
    <x v="354"/>
    <x v="174"/>
    <s v="CUST355"/>
    <x v="1"/>
    <n v="55"/>
    <x v="2"/>
    <x v="2"/>
    <x v="2"/>
    <x v="1"/>
    <n v="500"/>
  </r>
  <r>
    <x v="355"/>
    <x v="210"/>
    <s v="CUST356"/>
    <x v="0"/>
    <n v="50"/>
    <x v="1"/>
    <x v="2"/>
    <x v="0"/>
    <x v="1"/>
    <n v="1500"/>
  </r>
  <r>
    <x v="356"/>
    <x v="143"/>
    <s v="CUST357"/>
    <x v="1"/>
    <n v="40"/>
    <x v="1"/>
    <x v="2"/>
    <x v="0"/>
    <x v="3"/>
    <n v="75"/>
  </r>
  <r>
    <x v="357"/>
    <x v="42"/>
    <s v="CUST358"/>
    <x v="1"/>
    <n v="32"/>
    <x v="0"/>
    <x v="0"/>
    <x v="2"/>
    <x v="4"/>
    <n v="300"/>
  </r>
  <r>
    <x v="358"/>
    <x v="94"/>
    <s v="CUST359"/>
    <x v="0"/>
    <n v="50"/>
    <x v="1"/>
    <x v="1"/>
    <x v="2"/>
    <x v="0"/>
    <n v="50"/>
  </r>
  <r>
    <x v="359"/>
    <x v="176"/>
    <s v="CUST360"/>
    <x v="0"/>
    <n v="42"/>
    <x v="1"/>
    <x v="1"/>
    <x v="3"/>
    <x v="3"/>
    <n v="100"/>
  </r>
  <r>
    <x v="360"/>
    <x v="70"/>
    <s v="CUST361"/>
    <x v="1"/>
    <n v="34"/>
    <x v="0"/>
    <x v="2"/>
    <x v="3"/>
    <x v="4"/>
    <n v="1200"/>
  </r>
  <r>
    <x v="361"/>
    <x v="188"/>
    <s v="CUST362"/>
    <x v="0"/>
    <n v="50"/>
    <x v="1"/>
    <x v="1"/>
    <x v="2"/>
    <x v="3"/>
    <n v="25"/>
  </r>
  <r>
    <x v="362"/>
    <x v="226"/>
    <s v="CUST363"/>
    <x v="0"/>
    <n v="64"/>
    <x v="2"/>
    <x v="0"/>
    <x v="2"/>
    <x v="3"/>
    <n v="25"/>
  </r>
  <r>
    <x v="363"/>
    <x v="96"/>
    <s v="CUST364"/>
    <x v="1"/>
    <n v="19"/>
    <x v="0"/>
    <x v="0"/>
    <x v="2"/>
    <x v="1"/>
    <n v="500"/>
  </r>
  <r>
    <x v="364"/>
    <x v="86"/>
    <s v="CUST365"/>
    <x v="0"/>
    <n v="31"/>
    <x v="0"/>
    <x v="1"/>
    <x v="2"/>
    <x v="4"/>
    <n v="300"/>
  </r>
  <r>
    <x v="365"/>
    <x v="227"/>
    <s v="CUST366"/>
    <x v="0"/>
    <n v="57"/>
    <x v="2"/>
    <x v="1"/>
    <x v="1"/>
    <x v="0"/>
    <n v="100"/>
  </r>
  <r>
    <x v="366"/>
    <x v="228"/>
    <s v="CUST367"/>
    <x v="1"/>
    <n v="57"/>
    <x v="2"/>
    <x v="2"/>
    <x v="2"/>
    <x v="0"/>
    <n v="50"/>
  </r>
  <r>
    <x v="367"/>
    <x v="96"/>
    <s v="CUST368"/>
    <x v="1"/>
    <n v="56"/>
    <x v="2"/>
    <x v="1"/>
    <x v="3"/>
    <x v="4"/>
    <n v="1200"/>
  </r>
  <r>
    <x v="368"/>
    <x v="229"/>
    <s v="CUST369"/>
    <x v="0"/>
    <n v="23"/>
    <x v="0"/>
    <x v="2"/>
    <x v="0"/>
    <x v="1"/>
    <n v="1500"/>
  </r>
  <r>
    <x v="369"/>
    <x v="230"/>
    <s v="CUST370"/>
    <x v="0"/>
    <n v="23"/>
    <x v="0"/>
    <x v="2"/>
    <x v="1"/>
    <x v="2"/>
    <n v="60"/>
  </r>
  <r>
    <x v="370"/>
    <x v="62"/>
    <s v="CUST371"/>
    <x v="1"/>
    <n v="20"/>
    <x v="0"/>
    <x v="0"/>
    <x v="2"/>
    <x v="3"/>
    <n v="25"/>
  </r>
  <r>
    <x v="371"/>
    <x v="227"/>
    <s v="CUST372"/>
    <x v="1"/>
    <n v="24"/>
    <x v="0"/>
    <x v="0"/>
    <x v="0"/>
    <x v="1"/>
    <n v="1500"/>
  </r>
  <r>
    <x v="372"/>
    <x v="99"/>
    <s v="CUST373"/>
    <x v="1"/>
    <n v="25"/>
    <x v="0"/>
    <x v="0"/>
    <x v="1"/>
    <x v="4"/>
    <n v="600"/>
  </r>
  <r>
    <x v="373"/>
    <x v="175"/>
    <s v="CUST374"/>
    <x v="1"/>
    <n v="59"/>
    <x v="2"/>
    <x v="0"/>
    <x v="0"/>
    <x v="3"/>
    <n v="75"/>
  </r>
  <r>
    <x v="374"/>
    <x v="129"/>
    <s v="CUST375"/>
    <x v="0"/>
    <n v="32"/>
    <x v="0"/>
    <x v="1"/>
    <x v="2"/>
    <x v="0"/>
    <n v="50"/>
  </r>
  <r>
    <x v="375"/>
    <x v="42"/>
    <s v="CUST376"/>
    <x v="1"/>
    <n v="64"/>
    <x v="2"/>
    <x v="0"/>
    <x v="2"/>
    <x v="2"/>
    <n v="30"/>
  </r>
  <r>
    <x v="376"/>
    <x v="176"/>
    <s v="CUST377"/>
    <x v="1"/>
    <n v="46"/>
    <x v="1"/>
    <x v="1"/>
    <x v="3"/>
    <x v="0"/>
    <n v="200"/>
  </r>
  <r>
    <x v="377"/>
    <x v="231"/>
    <s v="CUST378"/>
    <x v="0"/>
    <n v="50"/>
    <x v="1"/>
    <x v="0"/>
    <x v="2"/>
    <x v="4"/>
    <n v="300"/>
  </r>
  <r>
    <x v="378"/>
    <x v="57"/>
    <s v="CUST379"/>
    <x v="1"/>
    <n v="47"/>
    <x v="1"/>
    <x v="1"/>
    <x v="2"/>
    <x v="3"/>
    <n v="25"/>
  </r>
  <r>
    <x v="379"/>
    <x v="4"/>
    <s v="CUST380"/>
    <x v="0"/>
    <n v="56"/>
    <x v="2"/>
    <x v="2"/>
    <x v="1"/>
    <x v="4"/>
    <n v="600"/>
  </r>
  <r>
    <x v="380"/>
    <x v="67"/>
    <s v="CUST381"/>
    <x v="1"/>
    <n v="44"/>
    <x v="1"/>
    <x v="1"/>
    <x v="3"/>
    <x v="3"/>
    <n v="100"/>
  </r>
  <r>
    <x v="381"/>
    <x v="232"/>
    <s v="CUST382"/>
    <x v="1"/>
    <n v="53"/>
    <x v="2"/>
    <x v="1"/>
    <x v="1"/>
    <x v="1"/>
    <n v="1000"/>
  </r>
  <r>
    <x v="382"/>
    <x v="125"/>
    <s v="CUST383"/>
    <x v="1"/>
    <n v="46"/>
    <x v="1"/>
    <x v="0"/>
    <x v="0"/>
    <x v="2"/>
    <n v="90"/>
  </r>
  <r>
    <x v="383"/>
    <x v="160"/>
    <s v="CUST384"/>
    <x v="0"/>
    <n v="55"/>
    <x v="2"/>
    <x v="1"/>
    <x v="2"/>
    <x v="1"/>
    <n v="500"/>
  </r>
  <r>
    <x v="384"/>
    <x v="233"/>
    <s v="CUST385"/>
    <x v="0"/>
    <n v="50"/>
    <x v="1"/>
    <x v="2"/>
    <x v="0"/>
    <x v="1"/>
    <n v="1500"/>
  </r>
  <r>
    <x v="385"/>
    <x v="56"/>
    <s v="CUST386"/>
    <x v="1"/>
    <n v="54"/>
    <x v="2"/>
    <x v="2"/>
    <x v="1"/>
    <x v="4"/>
    <n v="600"/>
  </r>
  <r>
    <x v="386"/>
    <x v="234"/>
    <s v="CUST387"/>
    <x v="0"/>
    <n v="44"/>
    <x v="1"/>
    <x v="0"/>
    <x v="2"/>
    <x v="2"/>
    <n v="30"/>
  </r>
  <r>
    <x v="387"/>
    <x v="235"/>
    <s v="CUST388"/>
    <x v="0"/>
    <n v="50"/>
    <x v="1"/>
    <x v="2"/>
    <x v="2"/>
    <x v="3"/>
    <n v="25"/>
  </r>
  <r>
    <x v="388"/>
    <x v="187"/>
    <s v="CUST389"/>
    <x v="0"/>
    <n v="21"/>
    <x v="0"/>
    <x v="1"/>
    <x v="1"/>
    <x v="3"/>
    <n v="50"/>
  </r>
  <r>
    <x v="389"/>
    <x v="118"/>
    <s v="CUST390"/>
    <x v="0"/>
    <n v="39"/>
    <x v="1"/>
    <x v="2"/>
    <x v="1"/>
    <x v="0"/>
    <n v="100"/>
  </r>
  <r>
    <x v="390"/>
    <x v="228"/>
    <s v="CUST391"/>
    <x v="0"/>
    <n v="19"/>
    <x v="0"/>
    <x v="0"/>
    <x v="1"/>
    <x v="3"/>
    <n v="50"/>
  </r>
  <r>
    <x v="391"/>
    <x v="236"/>
    <s v="CUST392"/>
    <x v="0"/>
    <n v="27"/>
    <x v="0"/>
    <x v="1"/>
    <x v="1"/>
    <x v="4"/>
    <n v="600"/>
  </r>
  <r>
    <x v="392"/>
    <x v="120"/>
    <s v="CUST393"/>
    <x v="1"/>
    <n v="22"/>
    <x v="0"/>
    <x v="0"/>
    <x v="1"/>
    <x v="1"/>
    <n v="1000"/>
  </r>
  <r>
    <x v="393"/>
    <x v="226"/>
    <s v="CUST394"/>
    <x v="1"/>
    <n v="27"/>
    <x v="0"/>
    <x v="1"/>
    <x v="2"/>
    <x v="1"/>
    <n v="500"/>
  </r>
  <r>
    <x v="394"/>
    <x v="237"/>
    <s v="CUST395"/>
    <x v="0"/>
    <n v="50"/>
    <x v="1"/>
    <x v="2"/>
    <x v="1"/>
    <x v="1"/>
    <n v="1000"/>
  </r>
  <r>
    <x v="395"/>
    <x v="238"/>
    <s v="CUST396"/>
    <x v="1"/>
    <n v="55"/>
    <x v="2"/>
    <x v="0"/>
    <x v="2"/>
    <x v="2"/>
    <n v="30"/>
  </r>
  <r>
    <x v="396"/>
    <x v="239"/>
    <s v="CUST397"/>
    <x v="1"/>
    <n v="30"/>
    <x v="0"/>
    <x v="0"/>
    <x v="2"/>
    <x v="3"/>
    <n v="25"/>
  </r>
  <r>
    <x v="397"/>
    <x v="42"/>
    <s v="CUST398"/>
    <x v="1"/>
    <n v="48"/>
    <x v="1"/>
    <x v="1"/>
    <x v="1"/>
    <x v="4"/>
    <n v="600"/>
  </r>
  <r>
    <x v="398"/>
    <x v="240"/>
    <s v="CUST399"/>
    <x v="1"/>
    <n v="64"/>
    <x v="2"/>
    <x v="0"/>
    <x v="1"/>
    <x v="2"/>
    <n v="60"/>
  </r>
  <r>
    <x v="399"/>
    <x v="130"/>
    <s v="CUST400"/>
    <x v="0"/>
    <n v="53"/>
    <x v="2"/>
    <x v="1"/>
    <x v="3"/>
    <x v="0"/>
    <n v="200"/>
  </r>
  <r>
    <x v="400"/>
    <x v="120"/>
    <s v="CUST401"/>
    <x v="1"/>
    <n v="62"/>
    <x v="2"/>
    <x v="1"/>
    <x v="2"/>
    <x v="4"/>
    <n v="300"/>
  </r>
  <r>
    <x v="401"/>
    <x v="34"/>
    <s v="CUST402"/>
    <x v="1"/>
    <n v="41"/>
    <x v="1"/>
    <x v="1"/>
    <x v="1"/>
    <x v="4"/>
    <n v="600"/>
  </r>
  <r>
    <x v="402"/>
    <x v="241"/>
    <s v="CUST403"/>
    <x v="0"/>
    <n v="32"/>
    <x v="0"/>
    <x v="1"/>
    <x v="1"/>
    <x v="4"/>
    <n v="600"/>
  </r>
  <r>
    <x v="403"/>
    <x v="242"/>
    <s v="CUST404"/>
    <x v="0"/>
    <n v="46"/>
    <x v="1"/>
    <x v="2"/>
    <x v="1"/>
    <x v="1"/>
    <n v="1000"/>
  </r>
  <r>
    <x v="404"/>
    <x v="41"/>
    <s v="CUST405"/>
    <x v="1"/>
    <n v="25"/>
    <x v="0"/>
    <x v="1"/>
    <x v="3"/>
    <x v="4"/>
    <n v="1200"/>
  </r>
  <r>
    <x v="405"/>
    <x v="69"/>
    <s v="CUST406"/>
    <x v="1"/>
    <n v="22"/>
    <x v="0"/>
    <x v="0"/>
    <x v="3"/>
    <x v="3"/>
    <n v="100"/>
  </r>
  <r>
    <x v="406"/>
    <x v="243"/>
    <s v="CUST407"/>
    <x v="1"/>
    <n v="46"/>
    <x v="1"/>
    <x v="2"/>
    <x v="0"/>
    <x v="4"/>
    <n v="900"/>
  </r>
  <r>
    <x v="407"/>
    <x v="225"/>
    <s v="CUST408"/>
    <x v="1"/>
    <n v="64"/>
    <x v="2"/>
    <x v="0"/>
    <x v="2"/>
    <x v="1"/>
    <n v="500"/>
  </r>
  <r>
    <x v="408"/>
    <x v="244"/>
    <s v="CUST409"/>
    <x v="1"/>
    <n v="21"/>
    <x v="0"/>
    <x v="2"/>
    <x v="0"/>
    <x v="4"/>
    <n v="900"/>
  </r>
  <r>
    <x v="409"/>
    <x v="245"/>
    <s v="CUST410"/>
    <x v="1"/>
    <n v="29"/>
    <x v="0"/>
    <x v="1"/>
    <x v="1"/>
    <x v="0"/>
    <n v="100"/>
  </r>
  <r>
    <x v="410"/>
    <x v="42"/>
    <s v="CUST411"/>
    <x v="0"/>
    <n v="62"/>
    <x v="2"/>
    <x v="2"/>
    <x v="3"/>
    <x v="0"/>
    <n v="200"/>
  </r>
  <r>
    <x v="411"/>
    <x v="18"/>
    <s v="CUST412"/>
    <x v="1"/>
    <n v="19"/>
    <x v="0"/>
    <x v="2"/>
    <x v="3"/>
    <x v="1"/>
    <n v="2000"/>
  </r>
  <r>
    <x v="412"/>
    <x v="140"/>
    <s v="CUST413"/>
    <x v="1"/>
    <n v="44"/>
    <x v="1"/>
    <x v="0"/>
    <x v="0"/>
    <x v="3"/>
    <n v="75"/>
  </r>
  <r>
    <x v="413"/>
    <x v="119"/>
    <s v="CUST414"/>
    <x v="0"/>
    <n v="48"/>
    <x v="1"/>
    <x v="0"/>
    <x v="3"/>
    <x v="3"/>
    <n v="100"/>
  </r>
  <r>
    <x v="414"/>
    <x v="246"/>
    <s v="CUST415"/>
    <x v="0"/>
    <n v="53"/>
    <x v="2"/>
    <x v="1"/>
    <x v="1"/>
    <x v="2"/>
    <n v="60"/>
  </r>
  <r>
    <x v="415"/>
    <x v="15"/>
    <s v="CUST416"/>
    <x v="0"/>
    <n v="53"/>
    <x v="2"/>
    <x v="2"/>
    <x v="3"/>
    <x v="1"/>
    <n v="2000"/>
  </r>
  <r>
    <x v="416"/>
    <x v="245"/>
    <s v="CUST417"/>
    <x v="0"/>
    <n v="43"/>
    <x v="1"/>
    <x v="2"/>
    <x v="0"/>
    <x v="4"/>
    <n v="900"/>
  </r>
  <r>
    <x v="417"/>
    <x v="12"/>
    <s v="CUST418"/>
    <x v="1"/>
    <n v="60"/>
    <x v="2"/>
    <x v="2"/>
    <x v="1"/>
    <x v="1"/>
    <n v="1000"/>
  </r>
  <r>
    <x v="418"/>
    <x v="247"/>
    <s v="CUST419"/>
    <x v="1"/>
    <n v="44"/>
    <x v="1"/>
    <x v="1"/>
    <x v="0"/>
    <x v="2"/>
    <n v="90"/>
  </r>
  <r>
    <x v="419"/>
    <x v="43"/>
    <s v="CUST420"/>
    <x v="1"/>
    <n v="22"/>
    <x v="0"/>
    <x v="1"/>
    <x v="3"/>
    <x v="1"/>
    <n v="2000"/>
  </r>
  <r>
    <x v="420"/>
    <x v="126"/>
    <s v="CUST421"/>
    <x v="1"/>
    <n v="37"/>
    <x v="1"/>
    <x v="1"/>
    <x v="0"/>
    <x v="1"/>
    <n v="1500"/>
  </r>
  <r>
    <x v="421"/>
    <x v="248"/>
    <s v="CUST422"/>
    <x v="1"/>
    <n v="28"/>
    <x v="0"/>
    <x v="1"/>
    <x v="0"/>
    <x v="2"/>
    <n v="90"/>
  </r>
  <r>
    <x v="422"/>
    <x v="249"/>
    <s v="CUST423"/>
    <x v="1"/>
    <n v="27"/>
    <x v="0"/>
    <x v="1"/>
    <x v="2"/>
    <x v="3"/>
    <n v="25"/>
  </r>
  <r>
    <x v="423"/>
    <x v="250"/>
    <s v="CUST424"/>
    <x v="0"/>
    <n v="57"/>
    <x v="2"/>
    <x v="0"/>
    <x v="3"/>
    <x v="4"/>
    <n v="1200"/>
  </r>
  <r>
    <x v="424"/>
    <x v="100"/>
    <s v="CUST425"/>
    <x v="1"/>
    <n v="55"/>
    <x v="2"/>
    <x v="2"/>
    <x v="3"/>
    <x v="2"/>
    <n v="120"/>
  </r>
  <r>
    <x v="425"/>
    <x v="134"/>
    <s v="CUST426"/>
    <x v="0"/>
    <n v="23"/>
    <x v="0"/>
    <x v="2"/>
    <x v="0"/>
    <x v="0"/>
    <n v="150"/>
  </r>
  <r>
    <x v="426"/>
    <x v="196"/>
    <s v="CUST427"/>
    <x v="0"/>
    <n v="25"/>
    <x v="0"/>
    <x v="2"/>
    <x v="2"/>
    <x v="3"/>
    <n v="25"/>
  </r>
  <r>
    <x v="427"/>
    <x v="49"/>
    <s v="CUST428"/>
    <x v="1"/>
    <n v="40"/>
    <x v="1"/>
    <x v="2"/>
    <x v="3"/>
    <x v="0"/>
    <n v="200"/>
  </r>
  <r>
    <x v="428"/>
    <x v="251"/>
    <s v="CUST429"/>
    <x v="0"/>
    <n v="64"/>
    <x v="2"/>
    <x v="2"/>
    <x v="1"/>
    <x v="3"/>
    <n v="50"/>
  </r>
  <r>
    <x v="429"/>
    <x v="252"/>
    <s v="CUST430"/>
    <x v="1"/>
    <n v="43"/>
    <x v="1"/>
    <x v="2"/>
    <x v="0"/>
    <x v="4"/>
    <n v="900"/>
  </r>
  <r>
    <x v="430"/>
    <x v="21"/>
    <s v="CUST431"/>
    <x v="0"/>
    <n v="63"/>
    <x v="2"/>
    <x v="2"/>
    <x v="3"/>
    <x v="4"/>
    <n v="1200"/>
  </r>
  <r>
    <x v="431"/>
    <x v="228"/>
    <s v="CUST432"/>
    <x v="1"/>
    <n v="60"/>
    <x v="2"/>
    <x v="2"/>
    <x v="1"/>
    <x v="1"/>
    <n v="1000"/>
  </r>
  <r>
    <x v="432"/>
    <x v="1"/>
    <s v="CUST433"/>
    <x v="0"/>
    <n v="29"/>
    <x v="0"/>
    <x v="0"/>
    <x v="3"/>
    <x v="0"/>
    <n v="200"/>
  </r>
  <r>
    <x v="433"/>
    <x v="195"/>
    <s v="CUST434"/>
    <x v="1"/>
    <n v="43"/>
    <x v="1"/>
    <x v="2"/>
    <x v="1"/>
    <x v="3"/>
    <n v="50"/>
  </r>
  <r>
    <x v="434"/>
    <x v="156"/>
    <s v="CUST435"/>
    <x v="1"/>
    <n v="30"/>
    <x v="0"/>
    <x v="0"/>
    <x v="0"/>
    <x v="4"/>
    <n v="900"/>
  </r>
  <r>
    <x v="435"/>
    <x v="253"/>
    <s v="CUST436"/>
    <x v="1"/>
    <n v="57"/>
    <x v="2"/>
    <x v="1"/>
    <x v="3"/>
    <x v="2"/>
    <n v="120"/>
  </r>
  <r>
    <x v="436"/>
    <x v="9"/>
    <s v="CUST437"/>
    <x v="1"/>
    <n v="35"/>
    <x v="0"/>
    <x v="2"/>
    <x v="3"/>
    <x v="4"/>
    <n v="1200"/>
  </r>
  <r>
    <x v="437"/>
    <x v="254"/>
    <s v="CUST438"/>
    <x v="1"/>
    <n v="42"/>
    <x v="1"/>
    <x v="1"/>
    <x v="2"/>
    <x v="2"/>
    <n v="30"/>
  </r>
  <r>
    <x v="438"/>
    <x v="67"/>
    <s v="CUST439"/>
    <x v="0"/>
    <n v="50"/>
    <x v="1"/>
    <x v="1"/>
    <x v="0"/>
    <x v="3"/>
    <n v="75"/>
  </r>
  <r>
    <x v="439"/>
    <x v="103"/>
    <s v="CUST440"/>
    <x v="0"/>
    <n v="64"/>
    <x v="2"/>
    <x v="1"/>
    <x v="1"/>
    <x v="4"/>
    <n v="600"/>
  </r>
  <r>
    <x v="440"/>
    <x v="49"/>
    <s v="CUST441"/>
    <x v="0"/>
    <n v="57"/>
    <x v="2"/>
    <x v="0"/>
    <x v="3"/>
    <x v="4"/>
    <n v="1200"/>
  </r>
  <r>
    <x v="441"/>
    <x v="255"/>
    <s v="CUST442"/>
    <x v="1"/>
    <n v="60"/>
    <x v="2"/>
    <x v="1"/>
    <x v="3"/>
    <x v="3"/>
    <n v="100"/>
  </r>
  <r>
    <x v="442"/>
    <x v="183"/>
    <s v="CUST443"/>
    <x v="0"/>
    <n v="29"/>
    <x v="0"/>
    <x v="1"/>
    <x v="1"/>
    <x v="4"/>
    <n v="600"/>
  </r>
  <r>
    <x v="443"/>
    <x v="150"/>
    <s v="CUST444"/>
    <x v="1"/>
    <n v="61"/>
    <x v="2"/>
    <x v="1"/>
    <x v="0"/>
    <x v="2"/>
    <n v="90"/>
  </r>
  <r>
    <x v="444"/>
    <x v="256"/>
    <s v="CUST445"/>
    <x v="1"/>
    <n v="53"/>
    <x v="2"/>
    <x v="2"/>
    <x v="2"/>
    <x v="4"/>
    <n v="300"/>
  </r>
  <r>
    <x v="445"/>
    <x v="142"/>
    <s v="CUST446"/>
    <x v="0"/>
    <n v="21"/>
    <x v="0"/>
    <x v="2"/>
    <x v="2"/>
    <x v="0"/>
    <n v="50"/>
  </r>
  <r>
    <x v="446"/>
    <x v="65"/>
    <s v="CUST447"/>
    <x v="0"/>
    <n v="22"/>
    <x v="0"/>
    <x v="0"/>
    <x v="3"/>
    <x v="1"/>
    <n v="2000"/>
  </r>
  <r>
    <x v="447"/>
    <x v="219"/>
    <s v="CUST448"/>
    <x v="1"/>
    <n v="54"/>
    <x v="2"/>
    <x v="0"/>
    <x v="1"/>
    <x v="2"/>
    <n v="60"/>
  </r>
  <r>
    <x v="448"/>
    <x v="39"/>
    <s v="CUST449"/>
    <x v="0"/>
    <n v="25"/>
    <x v="0"/>
    <x v="2"/>
    <x v="3"/>
    <x v="0"/>
    <n v="200"/>
  </r>
  <r>
    <x v="449"/>
    <x v="69"/>
    <s v="CUST450"/>
    <x v="1"/>
    <n v="59"/>
    <x v="2"/>
    <x v="0"/>
    <x v="1"/>
    <x v="3"/>
    <n v="50"/>
  </r>
  <r>
    <x v="450"/>
    <x v="72"/>
    <s v="CUST451"/>
    <x v="1"/>
    <n v="45"/>
    <x v="1"/>
    <x v="2"/>
    <x v="2"/>
    <x v="2"/>
    <n v="30"/>
  </r>
  <r>
    <x v="451"/>
    <x v="193"/>
    <s v="CUST452"/>
    <x v="1"/>
    <n v="48"/>
    <x v="1"/>
    <x v="1"/>
    <x v="0"/>
    <x v="1"/>
    <n v="1500"/>
  </r>
  <r>
    <x v="452"/>
    <x v="236"/>
    <s v="CUST453"/>
    <x v="1"/>
    <n v="26"/>
    <x v="0"/>
    <x v="1"/>
    <x v="1"/>
    <x v="1"/>
    <n v="1000"/>
  </r>
  <r>
    <x v="453"/>
    <x v="7"/>
    <s v="CUST454"/>
    <x v="1"/>
    <n v="46"/>
    <x v="1"/>
    <x v="0"/>
    <x v="2"/>
    <x v="3"/>
    <n v="25"/>
  </r>
  <r>
    <x v="454"/>
    <x v="68"/>
    <s v="CUST455"/>
    <x v="0"/>
    <n v="31"/>
    <x v="0"/>
    <x v="2"/>
    <x v="3"/>
    <x v="3"/>
    <n v="100"/>
  </r>
  <r>
    <x v="455"/>
    <x v="257"/>
    <s v="CUST456"/>
    <x v="0"/>
    <n v="57"/>
    <x v="2"/>
    <x v="2"/>
    <x v="1"/>
    <x v="2"/>
    <n v="60"/>
  </r>
  <r>
    <x v="456"/>
    <x v="180"/>
    <s v="CUST457"/>
    <x v="1"/>
    <n v="58"/>
    <x v="2"/>
    <x v="0"/>
    <x v="0"/>
    <x v="4"/>
    <n v="900"/>
  </r>
  <r>
    <x v="457"/>
    <x v="220"/>
    <s v="CUST458"/>
    <x v="1"/>
    <n v="39"/>
    <x v="1"/>
    <x v="2"/>
    <x v="3"/>
    <x v="3"/>
    <n v="100"/>
  </r>
  <r>
    <x v="458"/>
    <x v="34"/>
    <s v="CUST459"/>
    <x v="0"/>
    <n v="28"/>
    <x v="0"/>
    <x v="1"/>
    <x v="3"/>
    <x v="4"/>
    <n v="1200"/>
  </r>
  <r>
    <x v="459"/>
    <x v="173"/>
    <s v="CUST460"/>
    <x v="0"/>
    <n v="40"/>
    <x v="1"/>
    <x v="0"/>
    <x v="2"/>
    <x v="0"/>
    <n v="50"/>
  </r>
  <r>
    <x v="460"/>
    <x v="66"/>
    <s v="CUST461"/>
    <x v="1"/>
    <n v="18"/>
    <x v="0"/>
    <x v="0"/>
    <x v="1"/>
    <x v="1"/>
    <n v="1000"/>
  </r>
  <r>
    <x v="461"/>
    <x v="258"/>
    <s v="CUST462"/>
    <x v="0"/>
    <n v="63"/>
    <x v="2"/>
    <x v="2"/>
    <x v="3"/>
    <x v="4"/>
    <n v="1200"/>
  </r>
  <r>
    <x v="462"/>
    <x v="259"/>
    <s v="CUST463"/>
    <x v="1"/>
    <n v="54"/>
    <x v="2"/>
    <x v="0"/>
    <x v="0"/>
    <x v="1"/>
    <n v="1500"/>
  </r>
  <r>
    <x v="463"/>
    <x v="2"/>
    <s v="CUST464"/>
    <x v="0"/>
    <n v="38"/>
    <x v="1"/>
    <x v="2"/>
    <x v="1"/>
    <x v="4"/>
    <n v="600"/>
  </r>
  <r>
    <x v="464"/>
    <x v="128"/>
    <s v="CUST465"/>
    <x v="1"/>
    <n v="43"/>
    <x v="1"/>
    <x v="2"/>
    <x v="0"/>
    <x v="0"/>
    <n v="150"/>
  </r>
  <r>
    <x v="465"/>
    <x v="248"/>
    <s v="CUST466"/>
    <x v="0"/>
    <n v="63"/>
    <x v="2"/>
    <x v="2"/>
    <x v="3"/>
    <x v="3"/>
    <n v="100"/>
  </r>
  <r>
    <x v="466"/>
    <x v="184"/>
    <s v="CUST467"/>
    <x v="1"/>
    <n v="53"/>
    <x v="2"/>
    <x v="2"/>
    <x v="0"/>
    <x v="0"/>
    <n v="150"/>
  </r>
  <r>
    <x v="467"/>
    <x v="174"/>
    <s v="CUST468"/>
    <x v="0"/>
    <n v="40"/>
    <x v="1"/>
    <x v="2"/>
    <x v="2"/>
    <x v="3"/>
    <n v="25"/>
  </r>
  <r>
    <x v="468"/>
    <x v="193"/>
    <s v="CUST469"/>
    <x v="0"/>
    <n v="18"/>
    <x v="0"/>
    <x v="0"/>
    <x v="0"/>
    <x v="3"/>
    <n v="75"/>
  </r>
  <r>
    <x v="469"/>
    <x v="71"/>
    <s v="CUST470"/>
    <x v="1"/>
    <n v="57"/>
    <x v="2"/>
    <x v="1"/>
    <x v="1"/>
    <x v="1"/>
    <n v="1000"/>
  </r>
  <r>
    <x v="470"/>
    <x v="31"/>
    <s v="CUST471"/>
    <x v="0"/>
    <n v="32"/>
    <x v="0"/>
    <x v="1"/>
    <x v="0"/>
    <x v="0"/>
    <n v="150"/>
  </r>
  <r>
    <x v="471"/>
    <x v="24"/>
    <s v="CUST472"/>
    <x v="1"/>
    <n v="38"/>
    <x v="1"/>
    <x v="0"/>
    <x v="0"/>
    <x v="4"/>
    <n v="900"/>
  </r>
  <r>
    <x v="472"/>
    <x v="192"/>
    <s v="CUST473"/>
    <x v="0"/>
    <n v="64"/>
    <x v="2"/>
    <x v="0"/>
    <x v="2"/>
    <x v="0"/>
    <n v="50"/>
  </r>
  <r>
    <x v="473"/>
    <x v="116"/>
    <s v="CUST474"/>
    <x v="1"/>
    <n v="26"/>
    <x v="0"/>
    <x v="1"/>
    <x v="0"/>
    <x v="1"/>
    <n v="1500"/>
  </r>
  <r>
    <x v="474"/>
    <x v="260"/>
    <s v="CUST475"/>
    <x v="0"/>
    <n v="26"/>
    <x v="0"/>
    <x v="1"/>
    <x v="0"/>
    <x v="3"/>
    <n v="75"/>
  </r>
  <r>
    <x v="475"/>
    <x v="261"/>
    <s v="CUST476"/>
    <x v="1"/>
    <n v="27"/>
    <x v="0"/>
    <x v="1"/>
    <x v="3"/>
    <x v="1"/>
    <n v="2000"/>
  </r>
  <r>
    <x v="476"/>
    <x v="262"/>
    <s v="CUST477"/>
    <x v="0"/>
    <n v="43"/>
    <x v="1"/>
    <x v="1"/>
    <x v="3"/>
    <x v="2"/>
    <n v="120"/>
  </r>
  <r>
    <x v="477"/>
    <x v="157"/>
    <s v="CUST478"/>
    <x v="1"/>
    <n v="58"/>
    <x v="2"/>
    <x v="1"/>
    <x v="1"/>
    <x v="2"/>
    <n v="60"/>
  </r>
  <r>
    <x v="478"/>
    <x v="44"/>
    <s v="CUST479"/>
    <x v="0"/>
    <n v="52"/>
    <x v="2"/>
    <x v="2"/>
    <x v="3"/>
    <x v="4"/>
    <n v="1200"/>
  </r>
  <r>
    <x v="479"/>
    <x v="263"/>
    <s v="CUST480"/>
    <x v="1"/>
    <n v="42"/>
    <x v="1"/>
    <x v="0"/>
    <x v="3"/>
    <x v="1"/>
    <n v="2000"/>
  </r>
  <r>
    <x v="480"/>
    <x v="264"/>
    <s v="CUST481"/>
    <x v="1"/>
    <n v="43"/>
    <x v="1"/>
    <x v="2"/>
    <x v="3"/>
    <x v="4"/>
    <n v="1200"/>
  </r>
  <r>
    <x v="481"/>
    <x v="60"/>
    <s v="CUST482"/>
    <x v="1"/>
    <n v="28"/>
    <x v="0"/>
    <x v="1"/>
    <x v="3"/>
    <x v="4"/>
    <n v="1200"/>
  </r>
  <r>
    <x v="482"/>
    <x v="5"/>
    <s v="CUST483"/>
    <x v="0"/>
    <n v="55"/>
    <x v="2"/>
    <x v="1"/>
    <x v="2"/>
    <x v="2"/>
    <n v="30"/>
  </r>
  <r>
    <x v="483"/>
    <x v="2"/>
    <s v="CUST484"/>
    <x v="1"/>
    <n v="19"/>
    <x v="0"/>
    <x v="1"/>
    <x v="3"/>
    <x v="4"/>
    <n v="1200"/>
  </r>
  <r>
    <x v="484"/>
    <x v="151"/>
    <s v="CUST485"/>
    <x v="0"/>
    <n v="24"/>
    <x v="0"/>
    <x v="2"/>
    <x v="2"/>
    <x v="2"/>
    <n v="30"/>
  </r>
  <r>
    <x v="485"/>
    <x v="55"/>
    <s v="CUST486"/>
    <x v="1"/>
    <n v="35"/>
    <x v="0"/>
    <x v="2"/>
    <x v="2"/>
    <x v="3"/>
    <n v="25"/>
  </r>
  <r>
    <x v="486"/>
    <x v="104"/>
    <s v="CUST487"/>
    <x v="0"/>
    <n v="44"/>
    <x v="1"/>
    <x v="1"/>
    <x v="3"/>
    <x v="1"/>
    <n v="2000"/>
  </r>
  <r>
    <x v="487"/>
    <x v="265"/>
    <s v="CUST488"/>
    <x v="1"/>
    <n v="51"/>
    <x v="2"/>
    <x v="2"/>
    <x v="0"/>
    <x v="4"/>
    <n v="900"/>
  </r>
  <r>
    <x v="488"/>
    <x v="29"/>
    <s v="CUST489"/>
    <x v="0"/>
    <n v="44"/>
    <x v="1"/>
    <x v="2"/>
    <x v="2"/>
    <x v="2"/>
    <n v="30"/>
  </r>
  <r>
    <x v="489"/>
    <x v="57"/>
    <s v="CUST490"/>
    <x v="0"/>
    <n v="34"/>
    <x v="0"/>
    <x v="1"/>
    <x v="0"/>
    <x v="0"/>
    <n v="150"/>
  </r>
  <r>
    <x v="490"/>
    <x v="29"/>
    <s v="CUST491"/>
    <x v="1"/>
    <n v="60"/>
    <x v="2"/>
    <x v="2"/>
    <x v="0"/>
    <x v="4"/>
    <n v="900"/>
  </r>
  <r>
    <x v="491"/>
    <x v="263"/>
    <s v="CUST492"/>
    <x v="0"/>
    <n v="61"/>
    <x v="2"/>
    <x v="0"/>
    <x v="3"/>
    <x v="3"/>
    <n v="100"/>
  </r>
  <r>
    <x v="492"/>
    <x v="123"/>
    <s v="CUST493"/>
    <x v="0"/>
    <n v="41"/>
    <x v="1"/>
    <x v="0"/>
    <x v="1"/>
    <x v="3"/>
    <n v="50"/>
  </r>
  <r>
    <x v="493"/>
    <x v="106"/>
    <s v="CUST494"/>
    <x v="1"/>
    <n v="42"/>
    <x v="1"/>
    <x v="0"/>
    <x v="3"/>
    <x v="0"/>
    <n v="200"/>
  </r>
  <r>
    <x v="494"/>
    <x v="104"/>
    <s v="CUST495"/>
    <x v="0"/>
    <n v="24"/>
    <x v="0"/>
    <x v="0"/>
    <x v="1"/>
    <x v="2"/>
    <n v="60"/>
  </r>
  <r>
    <x v="495"/>
    <x v="266"/>
    <s v="CUST496"/>
    <x v="0"/>
    <n v="23"/>
    <x v="0"/>
    <x v="1"/>
    <x v="1"/>
    <x v="4"/>
    <n v="600"/>
  </r>
  <r>
    <x v="496"/>
    <x v="45"/>
    <s v="CUST497"/>
    <x v="0"/>
    <n v="41"/>
    <x v="1"/>
    <x v="1"/>
    <x v="3"/>
    <x v="2"/>
    <n v="120"/>
  </r>
  <r>
    <x v="497"/>
    <x v="171"/>
    <s v="CUST498"/>
    <x v="1"/>
    <n v="50"/>
    <x v="1"/>
    <x v="1"/>
    <x v="3"/>
    <x v="3"/>
    <n v="100"/>
  </r>
  <r>
    <x v="498"/>
    <x v="267"/>
    <s v="CUST499"/>
    <x v="0"/>
    <n v="46"/>
    <x v="1"/>
    <x v="0"/>
    <x v="1"/>
    <x v="2"/>
    <n v="60"/>
  </r>
  <r>
    <x v="499"/>
    <x v="240"/>
    <s v="CUST500"/>
    <x v="1"/>
    <n v="60"/>
    <x v="2"/>
    <x v="0"/>
    <x v="3"/>
    <x v="3"/>
    <n v="100"/>
  </r>
  <r>
    <x v="500"/>
    <x v="224"/>
    <s v="CUST501"/>
    <x v="0"/>
    <n v="39"/>
    <x v="1"/>
    <x v="2"/>
    <x v="1"/>
    <x v="2"/>
    <n v="60"/>
  </r>
  <r>
    <x v="501"/>
    <x v="128"/>
    <s v="CUST502"/>
    <x v="0"/>
    <n v="43"/>
    <x v="1"/>
    <x v="2"/>
    <x v="0"/>
    <x v="0"/>
    <n v="150"/>
  </r>
  <r>
    <x v="502"/>
    <x v="268"/>
    <s v="CUST503"/>
    <x v="0"/>
    <n v="45"/>
    <x v="1"/>
    <x v="0"/>
    <x v="3"/>
    <x v="1"/>
    <n v="2000"/>
  </r>
  <r>
    <x v="503"/>
    <x v="42"/>
    <s v="CUST504"/>
    <x v="1"/>
    <n v="38"/>
    <x v="1"/>
    <x v="0"/>
    <x v="0"/>
    <x v="0"/>
    <n v="150"/>
  </r>
  <r>
    <x v="504"/>
    <x v="260"/>
    <s v="CUST505"/>
    <x v="0"/>
    <n v="24"/>
    <x v="0"/>
    <x v="0"/>
    <x v="2"/>
    <x v="0"/>
    <n v="50"/>
  </r>
  <r>
    <x v="505"/>
    <x v="192"/>
    <s v="CUST506"/>
    <x v="0"/>
    <n v="34"/>
    <x v="0"/>
    <x v="0"/>
    <x v="0"/>
    <x v="1"/>
    <n v="1500"/>
  </r>
  <r>
    <x v="506"/>
    <x v="113"/>
    <s v="CUST507"/>
    <x v="1"/>
    <n v="37"/>
    <x v="1"/>
    <x v="2"/>
    <x v="0"/>
    <x v="1"/>
    <n v="1500"/>
  </r>
  <r>
    <x v="507"/>
    <x v="124"/>
    <s v="CUST508"/>
    <x v="0"/>
    <n v="58"/>
    <x v="2"/>
    <x v="0"/>
    <x v="1"/>
    <x v="4"/>
    <n v="600"/>
  </r>
  <r>
    <x v="508"/>
    <x v="40"/>
    <s v="CUST509"/>
    <x v="1"/>
    <n v="37"/>
    <x v="1"/>
    <x v="2"/>
    <x v="0"/>
    <x v="4"/>
    <n v="900"/>
  </r>
  <r>
    <x v="509"/>
    <x v="210"/>
    <s v="CUST510"/>
    <x v="1"/>
    <n v="39"/>
    <x v="1"/>
    <x v="0"/>
    <x v="3"/>
    <x v="0"/>
    <n v="200"/>
  </r>
  <r>
    <x v="510"/>
    <x v="269"/>
    <s v="CUST511"/>
    <x v="0"/>
    <n v="45"/>
    <x v="1"/>
    <x v="0"/>
    <x v="1"/>
    <x v="0"/>
    <n v="100"/>
  </r>
  <r>
    <x v="511"/>
    <x v="155"/>
    <s v="CUST512"/>
    <x v="1"/>
    <n v="57"/>
    <x v="2"/>
    <x v="0"/>
    <x v="2"/>
    <x v="3"/>
    <n v="25"/>
  </r>
  <r>
    <x v="512"/>
    <x v="270"/>
    <s v="CUST513"/>
    <x v="0"/>
    <n v="24"/>
    <x v="0"/>
    <x v="2"/>
    <x v="3"/>
    <x v="3"/>
    <n v="100"/>
  </r>
  <r>
    <x v="513"/>
    <x v="240"/>
    <s v="CUST514"/>
    <x v="1"/>
    <n v="18"/>
    <x v="0"/>
    <x v="2"/>
    <x v="2"/>
    <x v="4"/>
    <n v="300"/>
  </r>
  <r>
    <x v="514"/>
    <x v="115"/>
    <s v="CUST515"/>
    <x v="1"/>
    <n v="49"/>
    <x v="1"/>
    <x v="1"/>
    <x v="0"/>
    <x v="4"/>
    <n v="900"/>
  </r>
  <r>
    <x v="515"/>
    <x v="54"/>
    <s v="CUST516"/>
    <x v="0"/>
    <n v="30"/>
    <x v="0"/>
    <x v="0"/>
    <x v="3"/>
    <x v="3"/>
    <n v="100"/>
  </r>
  <r>
    <x v="516"/>
    <x v="181"/>
    <s v="CUST517"/>
    <x v="1"/>
    <n v="47"/>
    <x v="1"/>
    <x v="1"/>
    <x v="3"/>
    <x v="3"/>
    <n v="100"/>
  </r>
  <r>
    <x v="517"/>
    <x v="271"/>
    <s v="CUST518"/>
    <x v="1"/>
    <n v="40"/>
    <x v="1"/>
    <x v="1"/>
    <x v="2"/>
    <x v="2"/>
    <n v="30"/>
  </r>
  <r>
    <x v="518"/>
    <x v="43"/>
    <s v="CUST519"/>
    <x v="1"/>
    <n v="36"/>
    <x v="1"/>
    <x v="2"/>
    <x v="3"/>
    <x v="2"/>
    <n v="120"/>
  </r>
  <r>
    <x v="519"/>
    <x v="167"/>
    <s v="CUST520"/>
    <x v="1"/>
    <n v="49"/>
    <x v="1"/>
    <x v="2"/>
    <x v="3"/>
    <x v="3"/>
    <n v="100"/>
  </r>
  <r>
    <x v="520"/>
    <x v="269"/>
    <s v="CUST521"/>
    <x v="1"/>
    <n v="47"/>
    <x v="1"/>
    <x v="1"/>
    <x v="3"/>
    <x v="2"/>
    <n v="120"/>
  </r>
  <r>
    <x v="521"/>
    <x v="137"/>
    <s v="CUST522"/>
    <x v="0"/>
    <n v="46"/>
    <x v="1"/>
    <x v="0"/>
    <x v="0"/>
    <x v="1"/>
    <n v="1500"/>
  </r>
  <r>
    <x v="522"/>
    <x v="272"/>
    <s v="CUST523"/>
    <x v="1"/>
    <n v="62"/>
    <x v="2"/>
    <x v="2"/>
    <x v="2"/>
    <x v="4"/>
    <n v="300"/>
  </r>
  <r>
    <x v="523"/>
    <x v="99"/>
    <s v="CUST524"/>
    <x v="0"/>
    <n v="46"/>
    <x v="1"/>
    <x v="0"/>
    <x v="3"/>
    <x v="4"/>
    <n v="1200"/>
  </r>
  <r>
    <x v="524"/>
    <x v="244"/>
    <s v="CUST525"/>
    <x v="1"/>
    <n v="47"/>
    <x v="1"/>
    <x v="0"/>
    <x v="1"/>
    <x v="3"/>
    <n v="50"/>
  </r>
  <r>
    <x v="525"/>
    <x v="70"/>
    <s v="CUST526"/>
    <x v="0"/>
    <n v="33"/>
    <x v="0"/>
    <x v="1"/>
    <x v="1"/>
    <x v="0"/>
    <n v="100"/>
  </r>
  <r>
    <x v="526"/>
    <x v="273"/>
    <s v="CUST527"/>
    <x v="0"/>
    <n v="57"/>
    <x v="2"/>
    <x v="1"/>
    <x v="1"/>
    <x v="3"/>
    <n v="50"/>
  </r>
  <r>
    <x v="527"/>
    <x v="65"/>
    <s v="CUST528"/>
    <x v="1"/>
    <n v="36"/>
    <x v="1"/>
    <x v="1"/>
    <x v="1"/>
    <x v="2"/>
    <n v="60"/>
  </r>
  <r>
    <x v="528"/>
    <x v="183"/>
    <s v="CUST529"/>
    <x v="1"/>
    <n v="35"/>
    <x v="0"/>
    <x v="1"/>
    <x v="0"/>
    <x v="0"/>
    <n v="150"/>
  </r>
  <r>
    <x v="529"/>
    <x v="57"/>
    <s v="CUST530"/>
    <x v="1"/>
    <n v="18"/>
    <x v="0"/>
    <x v="2"/>
    <x v="3"/>
    <x v="2"/>
    <n v="120"/>
  </r>
  <r>
    <x v="530"/>
    <x v="274"/>
    <s v="CUST531"/>
    <x v="0"/>
    <n v="31"/>
    <x v="0"/>
    <x v="2"/>
    <x v="2"/>
    <x v="1"/>
    <n v="500"/>
  </r>
  <r>
    <x v="531"/>
    <x v="171"/>
    <s v="CUST532"/>
    <x v="1"/>
    <n v="64"/>
    <x v="2"/>
    <x v="1"/>
    <x v="3"/>
    <x v="2"/>
    <n v="120"/>
  </r>
  <r>
    <x v="532"/>
    <x v="275"/>
    <s v="CUST533"/>
    <x v="0"/>
    <n v="19"/>
    <x v="0"/>
    <x v="2"/>
    <x v="0"/>
    <x v="1"/>
    <n v="1500"/>
  </r>
  <r>
    <x v="533"/>
    <x v="210"/>
    <s v="CUST534"/>
    <x v="0"/>
    <n v="45"/>
    <x v="1"/>
    <x v="1"/>
    <x v="1"/>
    <x v="1"/>
    <n v="1000"/>
  </r>
  <r>
    <x v="534"/>
    <x v="237"/>
    <s v="CUST535"/>
    <x v="0"/>
    <n v="47"/>
    <x v="1"/>
    <x v="0"/>
    <x v="0"/>
    <x v="2"/>
    <n v="90"/>
  </r>
  <r>
    <x v="535"/>
    <x v="46"/>
    <s v="CUST536"/>
    <x v="1"/>
    <n v="55"/>
    <x v="2"/>
    <x v="0"/>
    <x v="3"/>
    <x v="2"/>
    <n v="120"/>
  </r>
  <r>
    <x v="536"/>
    <x v="226"/>
    <s v="CUST537"/>
    <x v="1"/>
    <n v="21"/>
    <x v="0"/>
    <x v="0"/>
    <x v="2"/>
    <x v="1"/>
    <n v="500"/>
  </r>
  <r>
    <x v="537"/>
    <x v="129"/>
    <s v="CUST538"/>
    <x v="0"/>
    <n v="18"/>
    <x v="0"/>
    <x v="1"/>
    <x v="0"/>
    <x v="0"/>
    <n v="150"/>
  </r>
  <r>
    <x v="538"/>
    <x v="276"/>
    <s v="CUST539"/>
    <x v="0"/>
    <n v="25"/>
    <x v="0"/>
    <x v="0"/>
    <x v="2"/>
    <x v="1"/>
    <n v="500"/>
  </r>
  <r>
    <x v="539"/>
    <x v="236"/>
    <s v="CUST540"/>
    <x v="1"/>
    <n v="46"/>
    <x v="1"/>
    <x v="2"/>
    <x v="0"/>
    <x v="4"/>
    <n v="900"/>
  </r>
  <r>
    <x v="540"/>
    <x v="277"/>
    <s v="CUST541"/>
    <x v="0"/>
    <n v="56"/>
    <x v="2"/>
    <x v="0"/>
    <x v="2"/>
    <x v="1"/>
    <n v="500"/>
  </r>
  <r>
    <x v="541"/>
    <x v="278"/>
    <s v="CUST542"/>
    <x v="1"/>
    <n v="20"/>
    <x v="0"/>
    <x v="0"/>
    <x v="2"/>
    <x v="0"/>
    <n v="50"/>
  </r>
  <r>
    <x v="542"/>
    <x v="191"/>
    <s v="CUST543"/>
    <x v="0"/>
    <n v="49"/>
    <x v="1"/>
    <x v="0"/>
    <x v="1"/>
    <x v="4"/>
    <n v="600"/>
  </r>
  <r>
    <x v="543"/>
    <x v="204"/>
    <s v="CUST544"/>
    <x v="1"/>
    <n v="27"/>
    <x v="0"/>
    <x v="2"/>
    <x v="2"/>
    <x v="3"/>
    <n v="25"/>
  </r>
  <r>
    <x v="544"/>
    <x v="207"/>
    <s v="CUST545"/>
    <x v="0"/>
    <n v="27"/>
    <x v="0"/>
    <x v="1"/>
    <x v="1"/>
    <x v="3"/>
    <n v="50"/>
  </r>
  <r>
    <x v="545"/>
    <x v="120"/>
    <s v="CUST546"/>
    <x v="1"/>
    <n v="36"/>
    <x v="1"/>
    <x v="2"/>
    <x v="3"/>
    <x v="0"/>
    <n v="200"/>
  </r>
  <r>
    <x v="546"/>
    <x v="150"/>
    <s v="CUST547"/>
    <x v="0"/>
    <n v="63"/>
    <x v="2"/>
    <x v="1"/>
    <x v="3"/>
    <x v="1"/>
    <n v="2000"/>
  </r>
  <r>
    <x v="547"/>
    <x v="55"/>
    <s v="CUST548"/>
    <x v="1"/>
    <n v="51"/>
    <x v="2"/>
    <x v="1"/>
    <x v="1"/>
    <x v="2"/>
    <n v="60"/>
  </r>
  <r>
    <x v="548"/>
    <x v="279"/>
    <s v="CUST549"/>
    <x v="1"/>
    <n v="50"/>
    <x v="1"/>
    <x v="0"/>
    <x v="1"/>
    <x v="0"/>
    <n v="100"/>
  </r>
  <r>
    <x v="549"/>
    <x v="274"/>
    <s v="CUST550"/>
    <x v="0"/>
    <n v="40"/>
    <x v="1"/>
    <x v="1"/>
    <x v="0"/>
    <x v="4"/>
    <n v="900"/>
  </r>
  <r>
    <x v="550"/>
    <x v="37"/>
    <s v="CUST551"/>
    <x v="0"/>
    <n v="45"/>
    <x v="1"/>
    <x v="2"/>
    <x v="0"/>
    <x v="4"/>
    <n v="900"/>
  </r>
  <r>
    <x v="551"/>
    <x v="8"/>
    <s v="CUST552"/>
    <x v="1"/>
    <n v="49"/>
    <x v="1"/>
    <x v="2"/>
    <x v="0"/>
    <x v="3"/>
    <n v="75"/>
  </r>
  <r>
    <x v="552"/>
    <x v="280"/>
    <s v="CUST553"/>
    <x v="0"/>
    <n v="24"/>
    <x v="0"/>
    <x v="1"/>
    <x v="3"/>
    <x v="4"/>
    <n v="1200"/>
  </r>
  <r>
    <x v="553"/>
    <x v="281"/>
    <s v="CUST554"/>
    <x v="1"/>
    <n v="46"/>
    <x v="1"/>
    <x v="0"/>
    <x v="0"/>
    <x v="0"/>
    <n v="150"/>
  </r>
  <r>
    <x v="554"/>
    <x v="218"/>
    <s v="CUST555"/>
    <x v="0"/>
    <n v="25"/>
    <x v="0"/>
    <x v="0"/>
    <x v="2"/>
    <x v="4"/>
    <n v="300"/>
  </r>
  <r>
    <x v="555"/>
    <x v="234"/>
    <s v="CUST556"/>
    <x v="1"/>
    <n v="18"/>
    <x v="0"/>
    <x v="2"/>
    <x v="2"/>
    <x v="0"/>
    <n v="50"/>
  </r>
  <r>
    <x v="556"/>
    <x v="282"/>
    <s v="CUST557"/>
    <x v="1"/>
    <n v="20"/>
    <x v="0"/>
    <x v="0"/>
    <x v="0"/>
    <x v="2"/>
    <n v="90"/>
  </r>
  <r>
    <x v="557"/>
    <x v="283"/>
    <s v="CUST558"/>
    <x v="1"/>
    <n v="41"/>
    <x v="1"/>
    <x v="1"/>
    <x v="2"/>
    <x v="3"/>
    <n v="25"/>
  </r>
  <r>
    <x v="558"/>
    <x v="137"/>
    <s v="CUST559"/>
    <x v="1"/>
    <n v="40"/>
    <x v="1"/>
    <x v="1"/>
    <x v="3"/>
    <x v="4"/>
    <n v="1200"/>
  </r>
  <r>
    <x v="559"/>
    <x v="284"/>
    <s v="CUST560"/>
    <x v="1"/>
    <n v="25"/>
    <x v="0"/>
    <x v="2"/>
    <x v="2"/>
    <x v="0"/>
    <n v="50"/>
  </r>
  <r>
    <x v="560"/>
    <x v="203"/>
    <s v="CUST561"/>
    <x v="1"/>
    <n v="64"/>
    <x v="2"/>
    <x v="1"/>
    <x v="3"/>
    <x v="1"/>
    <n v="2000"/>
  </r>
  <r>
    <x v="561"/>
    <x v="69"/>
    <s v="CUST562"/>
    <x v="0"/>
    <n v="54"/>
    <x v="2"/>
    <x v="2"/>
    <x v="1"/>
    <x v="3"/>
    <n v="50"/>
  </r>
  <r>
    <x v="562"/>
    <x v="183"/>
    <s v="CUST563"/>
    <x v="0"/>
    <n v="20"/>
    <x v="0"/>
    <x v="1"/>
    <x v="1"/>
    <x v="2"/>
    <n v="60"/>
  </r>
  <r>
    <x v="563"/>
    <x v="208"/>
    <s v="CUST564"/>
    <x v="0"/>
    <n v="50"/>
    <x v="1"/>
    <x v="2"/>
    <x v="1"/>
    <x v="0"/>
    <n v="100"/>
  </r>
  <r>
    <x v="564"/>
    <x v="155"/>
    <s v="CUST565"/>
    <x v="1"/>
    <n v="45"/>
    <x v="1"/>
    <x v="0"/>
    <x v="1"/>
    <x v="2"/>
    <n v="60"/>
  </r>
  <r>
    <x v="565"/>
    <x v="92"/>
    <s v="CUST566"/>
    <x v="1"/>
    <n v="64"/>
    <x v="2"/>
    <x v="1"/>
    <x v="2"/>
    <x v="2"/>
    <n v="30"/>
  </r>
  <r>
    <x v="566"/>
    <x v="285"/>
    <s v="CUST567"/>
    <x v="1"/>
    <n v="25"/>
    <x v="0"/>
    <x v="1"/>
    <x v="0"/>
    <x v="4"/>
    <n v="900"/>
  </r>
  <r>
    <x v="567"/>
    <x v="286"/>
    <s v="CUST568"/>
    <x v="1"/>
    <n v="51"/>
    <x v="2"/>
    <x v="2"/>
    <x v="2"/>
    <x v="4"/>
    <n v="300"/>
  </r>
  <r>
    <x v="568"/>
    <x v="196"/>
    <s v="CUST569"/>
    <x v="0"/>
    <n v="52"/>
    <x v="2"/>
    <x v="2"/>
    <x v="3"/>
    <x v="0"/>
    <n v="200"/>
  </r>
  <r>
    <x v="569"/>
    <x v="196"/>
    <s v="CUST570"/>
    <x v="0"/>
    <n v="49"/>
    <x v="1"/>
    <x v="1"/>
    <x v="2"/>
    <x v="1"/>
    <n v="500"/>
  </r>
  <r>
    <x v="570"/>
    <x v="216"/>
    <s v="CUST571"/>
    <x v="1"/>
    <n v="41"/>
    <x v="1"/>
    <x v="2"/>
    <x v="2"/>
    <x v="0"/>
    <n v="50"/>
  </r>
  <r>
    <x v="571"/>
    <x v="175"/>
    <s v="CUST572"/>
    <x v="0"/>
    <n v="31"/>
    <x v="0"/>
    <x v="1"/>
    <x v="3"/>
    <x v="1"/>
    <n v="2000"/>
  </r>
  <r>
    <x v="572"/>
    <x v="270"/>
    <s v="CUST573"/>
    <x v="0"/>
    <n v="49"/>
    <x v="1"/>
    <x v="0"/>
    <x v="1"/>
    <x v="2"/>
    <n v="60"/>
  </r>
  <r>
    <x v="573"/>
    <x v="178"/>
    <s v="CUST574"/>
    <x v="1"/>
    <n v="63"/>
    <x v="2"/>
    <x v="2"/>
    <x v="1"/>
    <x v="3"/>
    <n v="50"/>
  </r>
  <r>
    <x v="574"/>
    <x v="287"/>
    <s v="CUST575"/>
    <x v="0"/>
    <n v="60"/>
    <x v="2"/>
    <x v="1"/>
    <x v="1"/>
    <x v="0"/>
    <n v="100"/>
  </r>
  <r>
    <x v="575"/>
    <x v="151"/>
    <s v="CUST576"/>
    <x v="1"/>
    <n v="33"/>
    <x v="0"/>
    <x v="0"/>
    <x v="0"/>
    <x v="0"/>
    <n v="150"/>
  </r>
  <r>
    <x v="576"/>
    <x v="146"/>
    <s v="CUST577"/>
    <x v="0"/>
    <n v="21"/>
    <x v="0"/>
    <x v="0"/>
    <x v="3"/>
    <x v="1"/>
    <n v="2000"/>
  </r>
  <r>
    <x v="577"/>
    <x v="232"/>
    <s v="CUST578"/>
    <x v="1"/>
    <n v="54"/>
    <x v="2"/>
    <x v="1"/>
    <x v="3"/>
    <x v="2"/>
    <n v="120"/>
  </r>
  <r>
    <x v="578"/>
    <x v="172"/>
    <s v="CUST579"/>
    <x v="1"/>
    <n v="38"/>
    <x v="1"/>
    <x v="2"/>
    <x v="2"/>
    <x v="2"/>
    <n v="30"/>
  </r>
  <r>
    <x v="579"/>
    <x v="237"/>
    <s v="CUST580"/>
    <x v="1"/>
    <n v="31"/>
    <x v="0"/>
    <x v="1"/>
    <x v="0"/>
    <x v="1"/>
    <n v="1500"/>
  </r>
  <r>
    <x v="580"/>
    <x v="245"/>
    <s v="CUST581"/>
    <x v="1"/>
    <n v="48"/>
    <x v="1"/>
    <x v="0"/>
    <x v="1"/>
    <x v="2"/>
    <n v="60"/>
  </r>
  <r>
    <x v="581"/>
    <x v="220"/>
    <s v="CUST582"/>
    <x v="0"/>
    <n v="35"/>
    <x v="0"/>
    <x v="1"/>
    <x v="0"/>
    <x v="4"/>
    <n v="900"/>
  </r>
  <r>
    <x v="582"/>
    <x v="288"/>
    <s v="CUST583"/>
    <x v="1"/>
    <n v="24"/>
    <x v="0"/>
    <x v="2"/>
    <x v="3"/>
    <x v="3"/>
    <n v="100"/>
  </r>
  <r>
    <x v="583"/>
    <x v="15"/>
    <s v="CUST584"/>
    <x v="1"/>
    <n v="27"/>
    <x v="0"/>
    <x v="0"/>
    <x v="3"/>
    <x v="0"/>
    <n v="200"/>
  </r>
  <r>
    <x v="584"/>
    <x v="217"/>
    <s v="CUST585"/>
    <x v="1"/>
    <n v="24"/>
    <x v="0"/>
    <x v="1"/>
    <x v="2"/>
    <x v="3"/>
    <n v="25"/>
  </r>
  <r>
    <x v="585"/>
    <x v="186"/>
    <s v="CUST586"/>
    <x v="0"/>
    <n v="50"/>
    <x v="1"/>
    <x v="2"/>
    <x v="2"/>
    <x v="0"/>
    <n v="50"/>
  </r>
  <r>
    <x v="586"/>
    <x v="276"/>
    <s v="CUST587"/>
    <x v="1"/>
    <n v="40"/>
    <x v="1"/>
    <x v="0"/>
    <x v="3"/>
    <x v="4"/>
    <n v="1200"/>
  </r>
  <r>
    <x v="587"/>
    <x v="164"/>
    <s v="CUST588"/>
    <x v="0"/>
    <n v="38"/>
    <x v="1"/>
    <x v="2"/>
    <x v="1"/>
    <x v="2"/>
    <n v="60"/>
  </r>
  <r>
    <x v="588"/>
    <x v="22"/>
    <s v="CUST589"/>
    <x v="1"/>
    <n v="36"/>
    <x v="1"/>
    <x v="0"/>
    <x v="1"/>
    <x v="1"/>
    <n v="1000"/>
  </r>
  <r>
    <x v="589"/>
    <x v="255"/>
    <s v="CUST590"/>
    <x v="0"/>
    <n v="36"/>
    <x v="1"/>
    <x v="1"/>
    <x v="0"/>
    <x v="4"/>
    <n v="900"/>
  </r>
  <r>
    <x v="590"/>
    <x v="2"/>
    <s v="CUST591"/>
    <x v="0"/>
    <n v="53"/>
    <x v="2"/>
    <x v="2"/>
    <x v="3"/>
    <x v="3"/>
    <n v="100"/>
  </r>
  <r>
    <x v="591"/>
    <x v="58"/>
    <s v="CUST592"/>
    <x v="1"/>
    <n v="46"/>
    <x v="1"/>
    <x v="0"/>
    <x v="3"/>
    <x v="1"/>
    <n v="2000"/>
  </r>
  <r>
    <x v="592"/>
    <x v="4"/>
    <s v="CUST593"/>
    <x v="0"/>
    <n v="35"/>
    <x v="0"/>
    <x v="2"/>
    <x v="1"/>
    <x v="2"/>
    <n v="60"/>
  </r>
  <r>
    <x v="593"/>
    <x v="152"/>
    <s v="CUST594"/>
    <x v="1"/>
    <n v="19"/>
    <x v="0"/>
    <x v="2"/>
    <x v="1"/>
    <x v="4"/>
    <n v="600"/>
  </r>
  <r>
    <x v="594"/>
    <x v="289"/>
    <s v="CUST595"/>
    <x v="1"/>
    <n v="18"/>
    <x v="0"/>
    <x v="1"/>
    <x v="3"/>
    <x v="1"/>
    <n v="2000"/>
  </r>
  <r>
    <x v="595"/>
    <x v="227"/>
    <s v="CUST596"/>
    <x v="1"/>
    <n v="64"/>
    <x v="2"/>
    <x v="2"/>
    <x v="2"/>
    <x v="4"/>
    <n v="300"/>
  </r>
  <r>
    <x v="596"/>
    <x v="290"/>
    <s v="CUST597"/>
    <x v="0"/>
    <n v="22"/>
    <x v="0"/>
    <x v="0"/>
    <x v="3"/>
    <x v="4"/>
    <n v="1200"/>
  </r>
  <r>
    <x v="597"/>
    <x v="291"/>
    <s v="CUST598"/>
    <x v="0"/>
    <n v="37"/>
    <x v="1"/>
    <x v="0"/>
    <x v="3"/>
    <x v="2"/>
    <n v="120"/>
  </r>
  <r>
    <x v="598"/>
    <x v="292"/>
    <s v="CUST599"/>
    <x v="1"/>
    <n v="28"/>
    <x v="0"/>
    <x v="0"/>
    <x v="1"/>
    <x v="0"/>
    <n v="100"/>
  </r>
  <r>
    <x v="599"/>
    <x v="293"/>
    <s v="CUST600"/>
    <x v="1"/>
    <n v="59"/>
    <x v="2"/>
    <x v="0"/>
    <x v="1"/>
    <x v="1"/>
    <n v="1000"/>
  </r>
  <r>
    <x v="600"/>
    <x v="294"/>
    <s v="CUST601"/>
    <x v="0"/>
    <n v="19"/>
    <x v="0"/>
    <x v="1"/>
    <x v="2"/>
    <x v="2"/>
    <n v="30"/>
  </r>
  <r>
    <x v="601"/>
    <x v="204"/>
    <s v="CUST602"/>
    <x v="1"/>
    <n v="20"/>
    <x v="0"/>
    <x v="2"/>
    <x v="2"/>
    <x v="4"/>
    <n v="300"/>
  </r>
  <r>
    <x v="602"/>
    <x v="295"/>
    <s v="CUST603"/>
    <x v="1"/>
    <n v="40"/>
    <x v="1"/>
    <x v="1"/>
    <x v="0"/>
    <x v="2"/>
    <n v="90"/>
  </r>
  <r>
    <x v="603"/>
    <x v="296"/>
    <s v="CUST604"/>
    <x v="1"/>
    <n v="29"/>
    <x v="0"/>
    <x v="2"/>
    <x v="3"/>
    <x v="0"/>
    <n v="200"/>
  </r>
  <r>
    <x v="604"/>
    <x v="104"/>
    <s v="CUST605"/>
    <x v="0"/>
    <n v="37"/>
    <x v="1"/>
    <x v="2"/>
    <x v="1"/>
    <x v="1"/>
    <n v="1000"/>
  </r>
  <r>
    <x v="605"/>
    <x v="179"/>
    <s v="CUST606"/>
    <x v="0"/>
    <n v="22"/>
    <x v="0"/>
    <x v="2"/>
    <x v="2"/>
    <x v="0"/>
    <n v="50"/>
  </r>
  <r>
    <x v="606"/>
    <x v="255"/>
    <s v="CUST607"/>
    <x v="0"/>
    <n v="54"/>
    <x v="2"/>
    <x v="1"/>
    <x v="0"/>
    <x v="3"/>
    <n v="75"/>
  </r>
  <r>
    <x v="607"/>
    <x v="92"/>
    <s v="CUST608"/>
    <x v="1"/>
    <n v="55"/>
    <x v="2"/>
    <x v="2"/>
    <x v="0"/>
    <x v="1"/>
    <n v="1500"/>
  </r>
  <r>
    <x v="608"/>
    <x v="80"/>
    <s v="CUST609"/>
    <x v="1"/>
    <n v="47"/>
    <x v="1"/>
    <x v="1"/>
    <x v="1"/>
    <x v="0"/>
    <n v="100"/>
  </r>
  <r>
    <x v="609"/>
    <x v="297"/>
    <s v="CUST610"/>
    <x v="1"/>
    <n v="26"/>
    <x v="0"/>
    <x v="0"/>
    <x v="1"/>
    <x v="4"/>
    <n v="600"/>
  </r>
  <r>
    <x v="610"/>
    <x v="130"/>
    <s v="CUST611"/>
    <x v="0"/>
    <n v="51"/>
    <x v="2"/>
    <x v="0"/>
    <x v="0"/>
    <x v="1"/>
    <n v="1500"/>
  </r>
  <r>
    <x v="611"/>
    <x v="298"/>
    <s v="CUST612"/>
    <x v="1"/>
    <n v="61"/>
    <x v="2"/>
    <x v="2"/>
    <x v="2"/>
    <x v="1"/>
    <n v="500"/>
  </r>
  <r>
    <x v="612"/>
    <x v="26"/>
    <s v="CUST613"/>
    <x v="1"/>
    <n v="52"/>
    <x v="2"/>
    <x v="1"/>
    <x v="0"/>
    <x v="2"/>
    <n v="90"/>
  </r>
  <r>
    <x v="613"/>
    <x v="258"/>
    <s v="CUST614"/>
    <x v="1"/>
    <n v="39"/>
    <x v="1"/>
    <x v="0"/>
    <x v="3"/>
    <x v="4"/>
    <n v="1200"/>
  </r>
  <r>
    <x v="614"/>
    <x v="204"/>
    <s v="CUST615"/>
    <x v="1"/>
    <n v="61"/>
    <x v="2"/>
    <x v="1"/>
    <x v="3"/>
    <x v="3"/>
    <n v="100"/>
  </r>
  <r>
    <x v="615"/>
    <x v="299"/>
    <s v="CUST616"/>
    <x v="0"/>
    <n v="41"/>
    <x v="1"/>
    <x v="1"/>
    <x v="1"/>
    <x v="0"/>
    <n v="100"/>
  </r>
  <r>
    <x v="616"/>
    <x v="300"/>
    <s v="CUST617"/>
    <x v="0"/>
    <n v="34"/>
    <x v="0"/>
    <x v="2"/>
    <x v="2"/>
    <x v="2"/>
    <n v="30"/>
  </r>
  <r>
    <x v="617"/>
    <x v="197"/>
    <s v="CUST618"/>
    <x v="1"/>
    <n v="27"/>
    <x v="0"/>
    <x v="0"/>
    <x v="2"/>
    <x v="0"/>
    <n v="50"/>
  </r>
  <r>
    <x v="618"/>
    <x v="81"/>
    <s v="CUST619"/>
    <x v="0"/>
    <n v="47"/>
    <x v="1"/>
    <x v="2"/>
    <x v="3"/>
    <x v="3"/>
    <n v="100"/>
  </r>
  <r>
    <x v="619"/>
    <x v="193"/>
    <s v="CUST620"/>
    <x v="0"/>
    <n v="63"/>
    <x v="2"/>
    <x v="2"/>
    <x v="0"/>
    <x v="3"/>
    <n v="75"/>
  </r>
  <r>
    <x v="620"/>
    <x v="301"/>
    <s v="CUST621"/>
    <x v="1"/>
    <n v="40"/>
    <x v="1"/>
    <x v="0"/>
    <x v="1"/>
    <x v="1"/>
    <n v="1000"/>
  </r>
  <r>
    <x v="621"/>
    <x v="290"/>
    <s v="CUST622"/>
    <x v="1"/>
    <n v="49"/>
    <x v="1"/>
    <x v="0"/>
    <x v="0"/>
    <x v="3"/>
    <n v="75"/>
  </r>
  <r>
    <x v="622"/>
    <x v="239"/>
    <s v="CUST623"/>
    <x v="0"/>
    <n v="34"/>
    <x v="0"/>
    <x v="1"/>
    <x v="0"/>
    <x v="0"/>
    <n v="150"/>
  </r>
  <r>
    <x v="623"/>
    <x v="300"/>
    <s v="CUST624"/>
    <x v="1"/>
    <n v="34"/>
    <x v="0"/>
    <x v="0"/>
    <x v="0"/>
    <x v="4"/>
    <n v="900"/>
  </r>
  <r>
    <x v="624"/>
    <x v="236"/>
    <s v="CUST625"/>
    <x v="0"/>
    <n v="31"/>
    <x v="0"/>
    <x v="1"/>
    <x v="2"/>
    <x v="4"/>
    <n v="300"/>
  </r>
  <r>
    <x v="625"/>
    <x v="136"/>
    <s v="CUST626"/>
    <x v="1"/>
    <n v="26"/>
    <x v="0"/>
    <x v="1"/>
    <x v="3"/>
    <x v="1"/>
    <n v="2000"/>
  </r>
  <r>
    <x v="626"/>
    <x v="257"/>
    <s v="CUST627"/>
    <x v="0"/>
    <n v="57"/>
    <x v="2"/>
    <x v="1"/>
    <x v="2"/>
    <x v="0"/>
    <n v="50"/>
  </r>
  <r>
    <x v="627"/>
    <x v="215"/>
    <s v="CUST628"/>
    <x v="1"/>
    <n v="19"/>
    <x v="0"/>
    <x v="0"/>
    <x v="3"/>
    <x v="0"/>
    <n v="200"/>
  </r>
  <r>
    <x v="628"/>
    <x v="302"/>
    <s v="CUST629"/>
    <x v="0"/>
    <n v="62"/>
    <x v="2"/>
    <x v="2"/>
    <x v="1"/>
    <x v="3"/>
    <n v="50"/>
  </r>
  <r>
    <x v="629"/>
    <x v="196"/>
    <s v="CUST630"/>
    <x v="0"/>
    <n v="42"/>
    <x v="1"/>
    <x v="1"/>
    <x v="1"/>
    <x v="0"/>
    <n v="100"/>
  </r>
  <r>
    <x v="630"/>
    <x v="235"/>
    <s v="CUST631"/>
    <x v="0"/>
    <n v="56"/>
    <x v="2"/>
    <x v="2"/>
    <x v="0"/>
    <x v="2"/>
    <n v="90"/>
  </r>
  <r>
    <x v="631"/>
    <x v="18"/>
    <s v="CUST632"/>
    <x v="1"/>
    <n v="26"/>
    <x v="0"/>
    <x v="2"/>
    <x v="3"/>
    <x v="3"/>
    <n v="100"/>
  </r>
  <r>
    <x v="632"/>
    <x v="252"/>
    <s v="CUST633"/>
    <x v="0"/>
    <n v="39"/>
    <x v="1"/>
    <x v="0"/>
    <x v="3"/>
    <x v="2"/>
    <n v="120"/>
  </r>
  <r>
    <x v="633"/>
    <x v="283"/>
    <s v="CUST634"/>
    <x v="0"/>
    <n v="60"/>
    <x v="2"/>
    <x v="2"/>
    <x v="3"/>
    <x v="1"/>
    <n v="2000"/>
  </r>
  <r>
    <x v="634"/>
    <x v="303"/>
    <s v="CUST635"/>
    <x v="1"/>
    <n v="63"/>
    <x v="2"/>
    <x v="2"/>
    <x v="0"/>
    <x v="4"/>
    <n v="900"/>
  </r>
  <r>
    <x v="635"/>
    <x v="31"/>
    <s v="CUST636"/>
    <x v="1"/>
    <n v="21"/>
    <x v="0"/>
    <x v="0"/>
    <x v="0"/>
    <x v="1"/>
    <n v="1500"/>
  </r>
  <r>
    <x v="636"/>
    <x v="152"/>
    <s v="CUST637"/>
    <x v="0"/>
    <n v="43"/>
    <x v="1"/>
    <x v="1"/>
    <x v="1"/>
    <x v="4"/>
    <n v="600"/>
  </r>
  <r>
    <x v="637"/>
    <x v="304"/>
    <s v="CUST638"/>
    <x v="0"/>
    <n v="46"/>
    <x v="1"/>
    <x v="2"/>
    <x v="2"/>
    <x v="1"/>
    <n v="500"/>
  </r>
  <r>
    <x v="638"/>
    <x v="305"/>
    <s v="CUST639"/>
    <x v="1"/>
    <n v="62"/>
    <x v="2"/>
    <x v="0"/>
    <x v="3"/>
    <x v="0"/>
    <n v="200"/>
  </r>
  <r>
    <x v="639"/>
    <x v="98"/>
    <s v="CUST640"/>
    <x v="1"/>
    <n v="51"/>
    <x v="2"/>
    <x v="2"/>
    <x v="3"/>
    <x v="2"/>
    <n v="120"/>
  </r>
  <r>
    <x v="640"/>
    <x v="250"/>
    <s v="CUST641"/>
    <x v="1"/>
    <n v="40"/>
    <x v="1"/>
    <x v="2"/>
    <x v="2"/>
    <x v="4"/>
    <n v="300"/>
  </r>
  <r>
    <x v="641"/>
    <x v="247"/>
    <s v="CUST642"/>
    <x v="1"/>
    <n v="54"/>
    <x v="2"/>
    <x v="1"/>
    <x v="3"/>
    <x v="3"/>
    <n v="100"/>
  </r>
  <r>
    <x v="642"/>
    <x v="272"/>
    <s v="CUST643"/>
    <x v="1"/>
    <n v="28"/>
    <x v="0"/>
    <x v="2"/>
    <x v="0"/>
    <x v="2"/>
    <n v="90"/>
  </r>
  <r>
    <x v="643"/>
    <x v="147"/>
    <s v="CUST644"/>
    <x v="0"/>
    <n v="23"/>
    <x v="0"/>
    <x v="0"/>
    <x v="0"/>
    <x v="3"/>
    <n v="75"/>
  </r>
  <r>
    <x v="644"/>
    <x v="131"/>
    <s v="CUST645"/>
    <x v="1"/>
    <n v="35"/>
    <x v="0"/>
    <x v="2"/>
    <x v="3"/>
    <x v="2"/>
    <n v="120"/>
  </r>
  <r>
    <x v="645"/>
    <x v="143"/>
    <s v="CUST646"/>
    <x v="0"/>
    <n v="38"/>
    <x v="1"/>
    <x v="1"/>
    <x v="0"/>
    <x v="2"/>
    <n v="90"/>
  </r>
  <r>
    <x v="646"/>
    <x v="3"/>
    <s v="CUST647"/>
    <x v="0"/>
    <n v="59"/>
    <x v="2"/>
    <x v="1"/>
    <x v="0"/>
    <x v="1"/>
    <n v="1500"/>
  </r>
  <r>
    <x v="647"/>
    <x v="306"/>
    <s v="CUST648"/>
    <x v="0"/>
    <n v="53"/>
    <x v="2"/>
    <x v="0"/>
    <x v="3"/>
    <x v="4"/>
    <n v="1200"/>
  </r>
  <r>
    <x v="648"/>
    <x v="307"/>
    <s v="CUST649"/>
    <x v="1"/>
    <n v="58"/>
    <x v="2"/>
    <x v="1"/>
    <x v="1"/>
    <x v="4"/>
    <n v="600"/>
  </r>
  <r>
    <x v="649"/>
    <x v="158"/>
    <s v="CUST650"/>
    <x v="0"/>
    <n v="55"/>
    <x v="2"/>
    <x v="2"/>
    <x v="2"/>
    <x v="2"/>
    <n v="30"/>
  </r>
  <r>
    <x v="650"/>
    <x v="203"/>
    <s v="CUST651"/>
    <x v="0"/>
    <n v="51"/>
    <x v="2"/>
    <x v="1"/>
    <x v="0"/>
    <x v="0"/>
    <n v="150"/>
  </r>
  <r>
    <x v="651"/>
    <x v="217"/>
    <s v="CUST652"/>
    <x v="1"/>
    <n v="34"/>
    <x v="0"/>
    <x v="0"/>
    <x v="1"/>
    <x v="0"/>
    <n v="100"/>
  </r>
  <r>
    <x v="652"/>
    <x v="241"/>
    <s v="CUST653"/>
    <x v="0"/>
    <n v="54"/>
    <x v="2"/>
    <x v="1"/>
    <x v="0"/>
    <x v="3"/>
    <n v="75"/>
  </r>
  <r>
    <x v="653"/>
    <x v="288"/>
    <s v="CUST654"/>
    <x v="0"/>
    <n v="42"/>
    <x v="1"/>
    <x v="1"/>
    <x v="0"/>
    <x v="3"/>
    <n v="75"/>
  </r>
  <r>
    <x v="654"/>
    <x v="308"/>
    <s v="CUST655"/>
    <x v="1"/>
    <n v="55"/>
    <x v="2"/>
    <x v="1"/>
    <x v="2"/>
    <x v="1"/>
    <n v="500"/>
  </r>
  <r>
    <x v="655"/>
    <x v="135"/>
    <s v="CUST656"/>
    <x v="0"/>
    <n v="29"/>
    <x v="0"/>
    <x v="0"/>
    <x v="0"/>
    <x v="2"/>
    <n v="90"/>
  </r>
  <r>
    <x v="656"/>
    <x v="213"/>
    <s v="CUST657"/>
    <x v="0"/>
    <n v="40"/>
    <x v="1"/>
    <x v="1"/>
    <x v="2"/>
    <x v="3"/>
    <n v="25"/>
  </r>
  <r>
    <x v="657"/>
    <x v="105"/>
    <s v="CUST658"/>
    <x v="0"/>
    <n v="59"/>
    <x v="2"/>
    <x v="1"/>
    <x v="2"/>
    <x v="3"/>
    <n v="25"/>
  </r>
  <r>
    <x v="658"/>
    <x v="309"/>
    <s v="CUST659"/>
    <x v="1"/>
    <n v="39"/>
    <x v="1"/>
    <x v="2"/>
    <x v="2"/>
    <x v="2"/>
    <n v="30"/>
  </r>
  <r>
    <x v="659"/>
    <x v="310"/>
    <s v="CUST660"/>
    <x v="1"/>
    <n v="38"/>
    <x v="1"/>
    <x v="0"/>
    <x v="1"/>
    <x v="1"/>
    <n v="1000"/>
  </r>
  <r>
    <x v="660"/>
    <x v="295"/>
    <s v="CUST661"/>
    <x v="1"/>
    <n v="44"/>
    <x v="1"/>
    <x v="1"/>
    <x v="3"/>
    <x v="3"/>
    <n v="100"/>
  </r>
  <r>
    <x v="661"/>
    <x v="311"/>
    <s v="CUST662"/>
    <x v="0"/>
    <n v="48"/>
    <x v="1"/>
    <x v="0"/>
    <x v="1"/>
    <x v="1"/>
    <n v="1000"/>
  </r>
  <r>
    <x v="662"/>
    <x v="111"/>
    <s v="CUST663"/>
    <x v="0"/>
    <n v="23"/>
    <x v="0"/>
    <x v="1"/>
    <x v="3"/>
    <x v="4"/>
    <n v="1200"/>
  </r>
  <r>
    <x v="663"/>
    <x v="251"/>
    <s v="CUST664"/>
    <x v="1"/>
    <n v="44"/>
    <x v="1"/>
    <x v="1"/>
    <x v="3"/>
    <x v="1"/>
    <n v="2000"/>
  </r>
  <r>
    <x v="664"/>
    <x v="175"/>
    <s v="CUST665"/>
    <x v="0"/>
    <n v="57"/>
    <x v="2"/>
    <x v="1"/>
    <x v="2"/>
    <x v="0"/>
    <n v="50"/>
  </r>
  <r>
    <x v="665"/>
    <x v="114"/>
    <s v="CUST666"/>
    <x v="0"/>
    <n v="51"/>
    <x v="2"/>
    <x v="2"/>
    <x v="0"/>
    <x v="0"/>
    <n v="150"/>
  </r>
  <r>
    <x v="666"/>
    <x v="291"/>
    <s v="CUST667"/>
    <x v="1"/>
    <n v="29"/>
    <x v="0"/>
    <x v="2"/>
    <x v="2"/>
    <x v="1"/>
    <n v="500"/>
  </r>
  <r>
    <x v="667"/>
    <x v="180"/>
    <s v="CUST668"/>
    <x v="1"/>
    <n v="62"/>
    <x v="2"/>
    <x v="2"/>
    <x v="0"/>
    <x v="0"/>
    <n v="150"/>
  </r>
  <r>
    <x v="668"/>
    <x v="171"/>
    <s v="CUST669"/>
    <x v="0"/>
    <n v="24"/>
    <x v="0"/>
    <x v="0"/>
    <x v="3"/>
    <x v="4"/>
    <n v="1200"/>
  </r>
  <r>
    <x v="669"/>
    <x v="209"/>
    <s v="CUST670"/>
    <x v="0"/>
    <n v="27"/>
    <x v="0"/>
    <x v="0"/>
    <x v="2"/>
    <x v="2"/>
    <n v="30"/>
  </r>
  <r>
    <x v="670"/>
    <x v="286"/>
    <s v="CUST671"/>
    <x v="0"/>
    <n v="62"/>
    <x v="2"/>
    <x v="2"/>
    <x v="0"/>
    <x v="0"/>
    <n v="150"/>
  </r>
  <r>
    <x v="671"/>
    <x v="291"/>
    <s v="CUST672"/>
    <x v="1"/>
    <n v="34"/>
    <x v="0"/>
    <x v="0"/>
    <x v="1"/>
    <x v="0"/>
    <n v="100"/>
  </r>
  <r>
    <x v="672"/>
    <x v="190"/>
    <s v="CUST673"/>
    <x v="1"/>
    <n v="43"/>
    <x v="1"/>
    <x v="1"/>
    <x v="0"/>
    <x v="1"/>
    <n v="1500"/>
  </r>
  <r>
    <x v="673"/>
    <x v="312"/>
    <s v="CUST674"/>
    <x v="1"/>
    <n v="38"/>
    <x v="1"/>
    <x v="1"/>
    <x v="2"/>
    <x v="4"/>
    <n v="300"/>
  </r>
  <r>
    <x v="674"/>
    <x v="279"/>
    <s v="CUST675"/>
    <x v="1"/>
    <n v="45"/>
    <x v="1"/>
    <x v="1"/>
    <x v="1"/>
    <x v="2"/>
    <n v="60"/>
  </r>
  <r>
    <x v="675"/>
    <x v="202"/>
    <s v="CUST676"/>
    <x v="0"/>
    <n v="63"/>
    <x v="2"/>
    <x v="2"/>
    <x v="0"/>
    <x v="1"/>
    <n v="1500"/>
  </r>
  <r>
    <x v="676"/>
    <x v="101"/>
    <s v="CUST677"/>
    <x v="1"/>
    <n v="19"/>
    <x v="0"/>
    <x v="0"/>
    <x v="0"/>
    <x v="1"/>
    <n v="1500"/>
  </r>
  <r>
    <x v="677"/>
    <x v="204"/>
    <s v="CUST678"/>
    <x v="1"/>
    <n v="60"/>
    <x v="2"/>
    <x v="2"/>
    <x v="0"/>
    <x v="4"/>
    <n v="900"/>
  </r>
  <r>
    <x v="678"/>
    <x v="166"/>
    <s v="CUST679"/>
    <x v="1"/>
    <n v="18"/>
    <x v="0"/>
    <x v="0"/>
    <x v="0"/>
    <x v="2"/>
    <n v="90"/>
  </r>
  <r>
    <x v="679"/>
    <x v="293"/>
    <s v="CUST680"/>
    <x v="1"/>
    <n v="53"/>
    <x v="2"/>
    <x v="1"/>
    <x v="0"/>
    <x v="4"/>
    <n v="900"/>
  </r>
  <r>
    <x v="680"/>
    <x v="37"/>
    <s v="CUST681"/>
    <x v="1"/>
    <n v="43"/>
    <x v="1"/>
    <x v="2"/>
    <x v="1"/>
    <x v="2"/>
    <n v="60"/>
  </r>
  <r>
    <x v="681"/>
    <x v="211"/>
    <s v="CUST682"/>
    <x v="0"/>
    <n v="46"/>
    <x v="1"/>
    <x v="0"/>
    <x v="3"/>
    <x v="4"/>
    <n v="1200"/>
  </r>
  <r>
    <x v="682"/>
    <x v="30"/>
    <s v="CUST683"/>
    <x v="0"/>
    <n v="38"/>
    <x v="1"/>
    <x v="0"/>
    <x v="1"/>
    <x v="1"/>
    <n v="1000"/>
  </r>
  <r>
    <x v="683"/>
    <x v="313"/>
    <s v="CUST684"/>
    <x v="1"/>
    <n v="28"/>
    <x v="0"/>
    <x v="1"/>
    <x v="1"/>
    <x v="1"/>
    <n v="1000"/>
  </r>
  <r>
    <x v="684"/>
    <x v="132"/>
    <s v="CUST685"/>
    <x v="0"/>
    <n v="57"/>
    <x v="2"/>
    <x v="2"/>
    <x v="1"/>
    <x v="3"/>
    <n v="50"/>
  </r>
  <r>
    <x v="685"/>
    <x v="202"/>
    <s v="CUST686"/>
    <x v="1"/>
    <n v="28"/>
    <x v="0"/>
    <x v="2"/>
    <x v="3"/>
    <x v="0"/>
    <n v="200"/>
  </r>
  <r>
    <x v="686"/>
    <x v="25"/>
    <s v="CUST687"/>
    <x v="1"/>
    <n v="53"/>
    <x v="2"/>
    <x v="2"/>
    <x v="2"/>
    <x v="4"/>
    <n v="300"/>
  </r>
  <r>
    <x v="687"/>
    <x v="99"/>
    <s v="CUST688"/>
    <x v="0"/>
    <n v="56"/>
    <x v="2"/>
    <x v="1"/>
    <x v="3"/>
    <x v="3"/>
    <n v="100"/>
  </r>
  <r>
    <x v="688"/>
    <x v="9"/>
    <s v="CUST689"/>
    <x v="0"/>
    <n v="57"/>
    <x v="2"/>
    <x v="2"/>
    <x v="1"/>
    <x v="0"/>
    <n v="100"/>
  </r>
  <r>
    <x v="689"/>
    <x v="19"/>
    <s v="CUST690"/>
    <x v="1"/>
    <n v="52"/>
    <x v="2"/>
    <x v="1"/>
    <x v="0"/>
    <x v="4"/>
    <n v="900"/>
  </r>
  <r>
    <x v="690"/>
    <x v="26"/>
    <s v="CUST691"/>
    <x v="1"/>
    <n v="51"/>
    <x v="2"/>
    <x v="1"/>
    <x v="0"/>
    <x v="2"/>
    <n v="90"/>
  </r>
  <r>
    <x v="691"/>
    <x v="206"/>
    <s v="CUST692"/>
    <x v="1"/>
    <n v="64"/>
    <x v="2"/>
    <x v="1"/>
    <x v="1"/>
    <x v="0"/>
    <n v="100"/>
  </r>
  <r>
    <x v="692"/>
    <x v="26"/>
    <s v="CUST693"/>
    <x v="0"/>
    <n v="41"/>
    <x v="1"/>
    <x v="0"/>
    <x v="0"/>
    <x v="1"/>
    <n v="1500"/>
  </r>
  <r>
    <x v="693"/>
    <x v="241"/>
    <s v="CUST694"/>
    <x v="1"/>
    <n v="39"/>
    <x v="1"/>
    <x v="2"/>
    <x v="1"/>
    <x v="3"/>
    <n v="50"/>
  </r>
  <r>
    <x v="694"/>
    <x v="269"/>
    <s v="CUST695"/>
    <x v="1"/>
    <n v="22"/>
    <x v="0"/>
    <x v="2"/>
    <x v="0"/>
    <x v="0"/>
    <n v="150"/>
  </r>
  <r>
    <x v="695"/>
    <x v="147"/>
    <s v="CUST696"/>
    <x v="1"/>
    <n v="50"/>
    <x v="1"/>
    <x v="1"/>
    <x v="3"/>
    <x v="0"/>
    <n v="200"/>
  </r>
  <r>
    <x v="696"/>
    <x v="267"/>
    <s v="CUST697"/>
    <x v="0"/>
    <n v="53"/>
    <x v="2"/>
    <x v="1"/>
    <x v="2"/>
    <x v="1"/>
    <n v="500"/>
  </r>
  <r>
    <x v="697"/>
    <x v="202"/>
    <s v="CUST698"/>
    <x v="1"/>
    <n v="64"/>
    <x v="2"/>
    <x v="2"/>
    <x v="2"/>
    <x v="4"/>
    <n v="300"/>
  </r>
  <r>
    <x v="698"/>
    <x v="36"/>
    <s v="CUST699"/>
    <x v="1"/>
    <n v="37"/>
    <x v="1"/>
    <x v="1"/>
    <x v="3"/>
    <x v="2"/>
    <n v="120"/>
  </r>
  <r>
    <x v="699"/>
    <x v="174"/>
    <s v="CUST700"/>
    <x v="0"/>
    <n v="36"/>
    <x v="1"/>
    <x v="2"/>
    <x v="3"/>
    <x v="1"/>
    <n v="2000"/>
  </r>
  <r>
    <x v="700"/>
    <x v="266"/>
    <s v="CUST701"/>
    <x v="1"/>
    <n v="52"/>
    <x v="2"/>
    <x v="0"/>
    <x v="1"/>
    <x v="2"/>
    <n v="60"/>
  </r>
  <r>
    <x v="701"/>
    <x v="282"/>
    <s v="CUST702"/>
    <x v="1"/>
    <n v="60"/>
    <x v="2"/>
    <x v="1"/>
    <x v="1"/>
    <x v="4"/>
    <n v="600"/>
  </r>
  <r>
    <x v="702"/>
    <x v="154"/>
    <s v="CUST703"/>
    <x v="0"/>
    <n v="34"/>
    <x v="0"/>
    <x v="2"/>
    <x v="1"/>
    <x v="0"/>
    <n v="100"/>
  </r>
  <r>
    <x v="703"/>
    <x v="117"/>
    <s v="CUST704"/>
    <x v="1"/>
    <n v="62"/>
    <x v="2"/>
    <x v="1"/>
    <x v="0"/>
    <x v="2"/>
    <n v="90"/>
  </r>
  <r>
    <x v="704"/>
    <x v="150"/>
    <s v="CUST705"/>
    <x v="0"/>
    <n v="60"/>
    <x v="2"/>
    <x v="2"/>
    <x v="1"/>
    <x v="3"/>
    <n v="50"/>
  </r>
  <r>
    <x v="705"/>
    <x v="229"/>
    <s v="CUST706"/>
    <x v="0"/>
    <n v="51"/>
    <x v="2"/>
    <x v="2"/>
    <x v="3"/>
    <x v="3"/>
    <n v="100"/>
  </r>
  <r>
    <x v="706"/>
    <x v="77"/>
    <s v="CUST707"/>
    <x v="1"/>
    <n v="26"/>
    <x v="0"/>
    <x v="1"/>
    <x v="2"/>
    <x v="1"/>
    <n v="500"/>
  </r>
  <r>
    <x v="707"/>
    <x v="20"/>
    <s v="CUST708"/>
    <x v="1"/>
    <n v="43"/>
    <x v="1"/>
    <x v="0"/>
    <x v="0"/>
    <x v="4"/>
    <n v="900"/>
  </r>
  <r>
    <x v="708"/>
    <x v="314"/>
    <s v="CUST709"/>
    <x v="1"/>
    <n v="19"/>
    <x v="0"/>
    <x v="2"/>
    <x v="1"/>
    <x v="1"/>
    <n v="1000"/>
  </r>
  <r>
    <x v="709"/>
    <x v="315"/>
    <s v="CUST710"/>
    <x v="1"/>
    <n v="26"/>
    <x v="0"/>
    <x v="2"/>
    <x v="0"/>
    <x v="1"/>
    <n v="1500"/>
  </r>
  <r>
    <x v="710"/>
    <x v="230"/>
    <s v="CUST711"/>
    <x v="0"/>
    <n v="26"/>
    <x v="0"/>
    <x v="2"/>
    <x v="0"/>
    <x v="1"/>
    <n v="1500"/>
  </r>
  <r>
    <x v="711"/>
    <x v="237"/>
    <s v="CUST712"/>
    <x v="1"/>
    <n v="57"/>
    <x v="2"/>
    <x v="0"/>
    <x v="1"/>
    <x v="3"/>
    <n v="50"/>
  </r>
  <r>
    <x v="712"/>
    <x v="20"/>
    <s v="CUST713"/>
    <x v="0"/>
    <n v="34"/>
    <x v="0"/>
    <x v="0"/>
    <x v="0"/>
    <x v="3"/>
    <n v="75"/>
  </r>
  <r>
    <x v="713"/>
    <x v="316"/>
    <s v="CUST714"/>
    <x v="1"/>
    <n v="18"/>
    <x v="0"/>
    <x v="1"/>
    <x v="2"/>
    <x v="1"/>
    <n v="500"/>
  </r>
  <r>
    <x v="714"/>
    <x v="95"/>
    <s v="CUST715"/>
    <x v="1"/>
    <n v="42"/>
    <x v="1"/>
    <x v="0"/>
    <x v="3"/>
    <x v="3"/>
    <n v="100"/>
  </r>
  <r>
    <x v="715"/>
    <x v="102"/>
    <s v="CUST716"/>
    <x v="1"/>
    <n v="60"/>
    <x v="2"/>
    <x v="1"/>
    <x v="3"/>
    <x v="4"/>
    <n v="1200"/>
  </r>
  <r>
    <x v="716"/>
    <x v="317"/>
    <s v="CUST717"/>
    <x v="0"/>
    <n v="57"/>
    <x v="2"/>
    <x v="1"/>
    <x v="2"/>
    <x v="1"/>
    <n v="500"/>
  </r>
  <r>
    <x v="717"/>
    <x v="78"/>
    <s v="CUST718"/>
    <x v="1"/>
    <n v="59"/>
    <x v="2"/>
    <x v="0"/>
    <x v="0"/>
    <x v="3"/>
    <n v="75"/>
  </r>
  <r>
    <x v="718"/>
    <x v="194"/>
    <s v="CUST719"/>
    <x v="1"/>
    <n v="42"/>
    <x v="1"/>
    <x v="1"/>
    <x v="1"/>
    <x v="2"/>
    <n v="60"/>
  </r>
  <r>
    <x v="719"/>
    <x v="197"/>
    <s v="CUST720"/>
    <x v="1"/>
    <n v="56"/>
    <x v="2"/>
    <x v="0"/>
    <x v="0"/>
    <x v="1"/>
    <n v="1500"/>
  </r>
  <r>
    <x v="720"/>
    <x v="224"/>
    <s v="CUST721"/>
    <x v="1"/>
    <n v="52"/>
    <x v="2"/>
    <x v="1"/>
    <x v="2"/>
    <x v="1"/>
    <n v="500"/>
  </r>
  <r>
    <x v="721"/>
    <x v="37"/>
    <s v="CUST722"/>
    <x v="0"/>
    <n v="20"/>
    <x v="0"/>
    <x v="0"/>
    <x v="0"/>
    <x v="4"/>
    <n v="900"/>
  </r>
  <r>
    <x v="722"/>
    <x v="278"/>
    <s v="CUST723"/>
    <x v="1"/>
    <n v="54"/>
    <x v="2"/>
    <x v="0"/>
    <x v="3"/>
    <x v="0"/>
    <n v="200"/>
  </r>
  <r>
    <x v="723"/>
    <x v="90"/>
    <s v="CUST724"/>
    <x v="0"/>
    <n v="61"/>
    <x v="2"/>
    <x v="1"/>
    <x v="0"/>
    <x v="0"/>
    <n v="150"/>
  </r>
  <r>
    <x v="724"/>
    <x v="63"/>
    <s v="CUST725"/>
    <x v="0"/>
    <n v="61"/>
    <x v="2"/>
    <x v="2"/>
    <x v="2"/>
    <x v="4"/>
    <n v="300"/>
  </r>
  <r>
    <x v="725"/>
    <x v="278"/>
    <s v="CUST726"/>
    <x v="0"/>
    <n v="47"/>
    <x v="1"/>
    <x v="1"/>
    <x v="3"/>
    <x v="4"/>
    <n v="1200"/>
  </r>
  <r>
    <x v="726"/>
    <x v="36"/>
    <s v="CUST727"/>
    <x v="0"/>
    <n v="55"/>
    <x v="2"/>
    <x v="0"/>
    <x v="0"/>
    <x v="4"/>
    <n v="900"/>
  </r>
  <r>
    <x v="727"/>
    <x v="37"/>
    <s v="CUST728"/>
    <x v="0"/>
    <n v="51"/>
    <x v="2"/>
    <x v="2"/>
    <x v="0"/>
    <x v="0"/>
    <n v="150"/>
  </r>
  <r>
    <x v="728"/>
    <x v="29"/>
    <s v="CUST729"/>
    <x v="0"/>
    <n v="29"/>
    <x v="0"/>
    <x v="1"/>
    <x v="3"/>
    <x v="4"/>
    <n v="1200"/>
  </r>
  <r>
    <x v="729"/>
    <x v="279"/>
    <s v="CUST730"/>
    <x v="1"/>
    <n v="36"/>
    <x v="1"/>
    <x v="1"/>
    <x v="1"/>
    <x v="3"/>
    <n v="50"/>
  </r>
  <r>
    <x v="730"/>
    <x v="318"/>
    <s v="CUST731"/>
    <x v="0"/>
    <n v="54"/>
    <x v="2"/>
    <x v="1"/>
    <x v="3"/>
    <x v="1"/>
    <n v="2000"/>
  </r>
  <r>
    <x v="731"/>
    <x v="213"/>
    <s v="CUST732"/>
    <x v="0"/>
    <n v="61"/>
    <x v="2"/>
    <x v="2"/>
    <x v="1"/>
    <x v="1"/>
    <n v="1000"/>
  </r>
  <r>
    <x v="732"/>
    <x v="261"/>
    <s v="CUST733"/>
    <x v="0"/>
    <n v="34"/>
    <x v="0"/>
    <x v="0"/>
    <x v="2"/>
    <x v="2"/>
    <n v="30"/>
  </r>
  <r>
    <x v="733"/>
    <x v="141"/>
    <s v="CUST734"/>
    <x v="1"/>
    <n v="27"/>
    <x v="0"/>
    <x v="1"/>
    <x v="2"/>
    <x v="2"/>
    <n v="30"/>
  </r>
  <r>
    <x v="734"/>
    <x v="135"/>
    <s v="CUST735"/>
    <x v="1"/>
    <n v="64"/>
    <x v="2"/>
    <x v="1"/>
    <x v="3"/>
    <x v="1"/>
    <n v="2000"/>
  </r>
  <r>
    <x v="735"/>
    <x v="246"/>
    <s v="CUST736"/>
    <x v="0"/>
    <n v="29"/>
    <x v="0"/>
    <x v="1"/>
    <x v="3"/>
    <x v="3"/>
    <n v="100"/>
  </r>
  <r>
    <x v="736"/>
    <x v="263"/>
    <s v="CUST737"/>
    <x v="1"/>
    <n v="33"/>
    <x v="0"/>
    <x v="1"/>
    <x v="2"/>
    <x v="0"/>
    <n v="50"/>
  </r>
  <r>
    <x v="737"/>
    <x v="5"/>
    <s v="CUST738"/>
    <x v="0"/>
    <n v="41"/>
    <x v="1"/>
    <x v="1"/>
    <x v="1"/>
    <x v="0"/>
    <n v="100"/>
  </r>
  <r>
    <x v="738"/>
    <x v="23"/>
    <s v="CUST739"/>
    <x v="0"/>
    <n v="36"/>
    <x v="1"/>
    <x v="0"/>
    <x v="2"/>
    <x v="3"/>
    <n v="25"/>
  </r>
  <r>
    <x v="739"/>
    <x v="57"/>
    <s v="CUST740"/>
    <x v="1"/>
    <n v="25"/>
    <x v="0"/>
    <x v="0"/>
    <x v="3"/>
    <x v="0"/>
    <n v="200"/>
  </r>
  <r>
    <x v="740"/>
    <x v="198"/>
    <s v="CUST741"/>
    <x v="0"/>
    <n v="48"/>
    <x v="1"/>
    <x v="1"/>
    <x v="2"/>
    <x v="4"/>
    <n v="300"/>
  </r>
  <r>
    <x v="741"/>
    <x v="219"/>
    <s v="CUST742"/>
    <x v="1"/>
    <n v="38"/>
    <x v="1"/>
    <x v="2"/>
    <x v="3"/>
    <x v="1"/>
    <n v="2000"/>
  </r>
  <r>
    <x v="742"/>
    <x v="14"/>
    <s v="CUST743"/>
    <x v="1"/>
    <n v="34"/>
    <x v="0"/>
    <x v="0"/>
    <x v="3"/>
    <x v="1"/>
    <n v="2000"/>
  </r>
  <r>
    <x v="743"/>
    <x v="98"/>
    <s v="CUST744"/>
    <x v="0"/>
    <n v="40"/>
    <x v="1"/>
    <x v="2"/>
    <x v="2"/>
    <x v="3"/>
    <n v="25"/>
  </r>
  <r>
    <x v="744"/>
    <x v="157"/>
    <s v="CUST745"/>
    <x v="0"/>
    <n v="54"/>
    <x v="2"/>
    <x v="0"/>
    <x v="1"/>
    <x v="0"/>
    <n v="100"/>
  </r>
  <r>
    <x v="745"/>
    <x v="166"/>
    <s v="CUST746"/>
    <x v="1"/>
    <n v="33"/>
    <x v="0"/>
    <x v="1"/>
    <x v="0"/>
    <x v="2"/>
    <n v="90"/>
  </r>
  <r>
    <x v="746"/>
    <x v="229"/>
    <s v="CUST747"/>
    <x v="0"/>
    <n v="23"/>
    <x v="0"/>
    <x v="0"/>
    <x v="2"/>
    <x v="2"/>
    <n v="30"/>
  </r>
  <r>
    <x v="747"/>
    <x v="111"/>
    <s v="CUST748"/>
    <x v="0"/>
    <n v="25"/>
    <x v="0"/>
    <x v="1"/>
    <x v="0"/>
    <x v="0"/>
    <n v="150"/>
  </r>
  <r>
    <x v="748"/>
    <x v="143"/>
    <s v="CUST749"/>
    <x v="0"/>
    <n v="42"/>
    <x v="1"/>
    <x v="0"/>
    <x v="2"/>
    <x v="2"/>
    <n v="30"/>
  </r>
  <r>
    <x v="749"/>
    <x v="149"/>
    <s v="CUST750"/>
    <x v="1"/>
    <n v="35"/>
    <x v="0"/>
    <x v="1"/>
    <x v="0"/>
    <x v="3"/>
    <n v="75"/>
  </r>
  <r>
    <x v="750"/>
    <x v="178"/>
    <s v="CUST751"/>
    <x v="1"/>
    <n v="42"/>
    <x v="1"/>
    <x v="1"/>
    <x v="1"/>
    <x v="3"/>
    <n v="50"/>
  </r>
  <r>
    <x v="751"/>
    <x v="174"/>
    <s v="CUST752"/>
    <x v="0"/>
    <n v="29"/>
    <x v="0"/>
    <x v="1"/>
    <x v="1"/>
    <x v="0"/>
    <n v="100"/>
  </r>
  <r>
    <x v="752"/>
    <x v="122"/>
    <s v="CUST753"/>
    <x v="1"/>
    <n v="32"/>
    <x v="0"/>
    <x v="1"/>
    <x v="2"/>
    <x v="2"/>
    <n v="30"/>
  </r>
  <r>
    <x v="753"/>
    <x v="230"/>
    <s v="CUST754"/>
    <x v="1"/>
    <n v="43"/>
    <x v="1"/>
    <x v="2"/>
    <x v="3"/>
    <x v="3"/>
    <n v="100"/>
  </r>
  <r>
    <x v="754"/>
    <x v="16"/>
    <s v="CUST755"/>
    <x v="1"/>
    <n v="58"/>
    <x v="2"/>
    <x v="1"/>
    <x v="0"/>
    <x v="3"/>
    <n v="75"/>
  </r>
  <r>
    <x v="755"/>
    <x v="286"/>
    <s v="CUST756"/>
    <x v="1"/>
    <n v="62"/>
    <x v="2"/>
    <x v="2"/>
    <x v="3"/>
    <x v="4"/>
    <n v="1200"/>
  </r>
  <r>
    <x v="756"/>
    <x v="319"/>
    <s v="CUST757"/>
    <x v="1"/>
    <n v="43"/>
    <x v="1"/>
    <x v="2"/>
    <x v="3"/>
    <x v="4"/>
    <n v="1200"/>
  </r>
  <r>
    <x v="757"/>
    <x v="320"/>
    <s v="CUST758"/>
    <x v="0"/>
    <n v="64"/>
    <x v="2"/>
    <x v="1"/>
    <x v="3"/>
    <x v="3"/>
    <n v="100"/>
  </r>
  <r>
    <x v="758"/>
    <x v="321"/>
    <s v="CUST759"/>
    <x v="0"/>
    <n v="49"/>
    <x v="1"/>
    <x v="2"/>
    <x v="1"/>
    <x v="0"/>
    <n v="100"/>
  </r>
  <r>
    <x v="759"/>
    <x v="200"/>
    <s v="CUST760"/>
    <x v="0"/>
    <n v="27"/>
    <x v="0"/>
    <x v="0"/>
    <x v="2"/>
    <x v="1"/>
    <n v="500"/>
  </r>
  <r>
    <x v="760"/>
    <x v="155"/>
    <s v="CUST761"/>
    <x v="1"/>
    <n v="33"/>
    <x v="0"/>
    <x v="1"/>
    <x v="2"/>
    <x v="1"/>
    <n v="500"/>
  </r>
  <r>
    <x v="761"/>
    <x v="155"/>
    <s v="CUST762"/>
    <x v="1"/>
    <n v="24"/>
    <x v="0"/>
    <x v="2"/>
    <x v="1"/>
    <x v="3"/>
    <n v="50"/>
  </r>
  <r>
    <x v="762"/>
    <x v="122"/>
    <s v="CUST763"/>
    <x v="0"/>
    <n v="34"/>
    <x v="0"/>
    <x v="1"/>
    <x v="1"/>
    <x v="3"/>
    <n v="50"/>
  </r>
  <r>
    <x v="763"/>
    <x v="66"/>
    <s v="CUST764"/>
    <x v="1"/>
    <n v="40"/>
    <x v="1"/>
    <x v="1"/>
    <x v="2"/>
    <x v="3"/>
    <n v="25"/>
  </r>
  <r>
    <x v="764"/>
    <x v="159"/>
    <s v="CUST765"/>
    <x v="0"/>
    <n v="43"/>
    <x v="1"/>
    <x v="1"/>
    <x v="3"/>
    <x v="0"/>
    <n v="200"/>
  </r>
  <r>
    <x v="765"/>
    <x v="192"/>
    <s v="CUST766"/>
    <x v="0"/>
    <n v="38"/>
    <x v="1"/>
    <x v="2"/>
    <x v="0"/>
    <x v="4"/>
    <n v="900"/>
  </r>
  <r>
    <x v="766"/>
    <x v="208"/>
    <s v="CUST767"/>
    <x v="0"/>
    <n v="39"/>
    <x v="1"/>
    <x v="0"/>
    <x v="0"/>
    <x v="3"/>
    <n v="75"/>
  </r>
  <r>
    <x v="767"/>
    <x v="20"/>
    <s v="CUST768"/>
    <x v="1"/>
    <n v="24"/>
    <x v="0"/>
    <x v="0"/>
    <x v="0"/>
    <x v="3"/>
    <n v="75"/>
  </r>
  <r>
    <x v="768"/>
    <x v="159"/>
    <s v="CUST769"/>
    <x v="1"/>
    <n v="31"/>
    <x v="0"/>
    <x v="2"/>
    <x v="3"/>
    <x v="2"/>
    <n v="120"/>
  </r>
  <r>
    <x v="769"/>
    <x v="293"/>
    <s v="CUST770"/>
    <x v="0"/>
    <n v="32"/>
    <x v="0"/>
    <x v="1"/>
    <x v="2"/>
    <x v="0"/>
    <n v="50"/>
  </r>
  <r>
    <x v="770"/>
    <x v="8"/>
    <s v="CUST771"/>
    <x v="0"/>
    <n v="24"/>
    <x v="0"/>
    <x v="2"/>
    <x v="1"/>
    <x v="3"/>
    <n v="50"/>
  </r>
  <r>
    <x v="771"/>
    <x v="322"/>
    <s v="CUST772"/>
    <x v="0"/>
    <n v="26"/>
    <x v="0"/>
    <x v="2"/>
    <x v="2"/>
    <x v="2"/>
    <n v="30"/>
  </r>
  <r>
    <x v="772"/>
    <x v="323"/>
    <s v="CUST773"/>
    <x v="0"/>
    <n v="25"/>
    <x v="0"/>
    <x v="2"/>
    <x v="3"/>
    <x v="1"/>
    <n v="2000"/>
  </r>
  <r>
    <x v="773"/>
    <x v="22"/>
    <s v="CUST774"/>
    <x v="1"/>
    <n v="40"/>
    <x v="1"/>
    <x v="1"/>
    <x v="1"/>
    <x v="3"/>
    <n v="50"/>
  </r>
  <r>
    <x v="774"/>
    <x v="195"/>
    <s v="CUST775"/>
    <x v="1"/>
    <n v="46"/>
    <x v="1"/>
    <x v="2"/>
    <x v="3"/>
    <x v="3"/>
    <n v="100"/>
  </r>
  <r>
    <x v="775"/>
    <x v="315"/>
    <s v="CUST776"/>
    <x v="0"/>
    <n v="35"/>
    <x v="0"/>
    <x v="1"/>
    <x v="0"/>
    <x v="2"/>
    <n v="90"/>
  </r>
  <r>
    <x v="776"/>
    <x v="156"/>
    <s v="CUST777"/>
    <x v="0"/>
    <n v="48"/>
    <x v="1"/>
    <x v="2"/>
    <x v="0"/>
    <x v="0"/>
    <n v="150"/>
  </r>
  <r>
    <x v="777"/>
    <x v="51"/>
    <s v="CUST778"/>
    <x v="1"/>
    <n v="47"/>
    <x v="1"/>
    <x v="0"/>
    <x v="3"/>
    <x v="3"/>
    <n v="100"/>
  </r>
  <r>
    <x v="778"/>
    <x v="179"/>
    <s v="CUST779"/>
    <x v="1"/>
    <n v="56"/>
    <x v="2"/>
    <x v="2"/>
    <x v="1"/>
    <x v="1"/>
    <n v="1000"/>
  </r>
  <r>
    <x v="779"/>
    <x v="7"/>
    <s v="CUST780"/>
    <x v="0"/>
    <n v="52"/>
    <x v="2"/>
    <x v="2"/>
    <x v="1"/>
    <x v="3"/>
    <n v="50"/>
  </r>
  <r>
    <x v="780"/>
    <x v="204"/>
    <s v="CUST781"/>
    <x v="0"/>
    <n v="35"/>
    <x v="0"/>
    <x v="0"/>
    <x v="2"/>
    <x v="1"/>
    <n v="500"/>
  </r>
  <r>
    <x v="781"/>
    <x v="234"/>
    <s v="CUST782"/>
    <x v="0"/>
    <n v="59"/>
    <x v="2"/>
    <x v="1"/>
    <x v="0"/>
    <x v="4"/>
    <n v="900"/>
  </r>
  <r>
    <x v="782"/>
    <x v="82"/>
    <s v="CUST783"/>
    <x v="1"/>
    <n v="56"/>
    <x v="2"/>
    <x v="1"/>
    <x v="2"/>
    <x v="4"/>
    <n v="300"/>
  </r>
  <r>
    <x v="783"/>
    <x v="324"/>
    <s v="CUST784"/>
    <x v="1"/>
    <n v="34"/>
    <x v="0"/>
    <x v="2"/>
    <x v="2"/>
    <x v="1"/>
    <n v="500"/>
  </r>
  <r>
    <x v="784"/>
    <x v="163"/>
    <s v="CUST785"/>
    <x v="1"/>
    <n v="31"/>
    <x v="0"/>
    <x v="0"/>
    <x v="3"/>
    <x v="0"/>
    <n v="200"/>
  </r>
  <r>
    <x v="785"/>
    <x v="222"/>
    <s v="CUST786"/>
    <x v="0"/>
    <n v="48"/>
    <x v="1"/>
    <x v="1"/>
    <x v="3"/>
    <x v="3"/>
    <n v="100"/>
  </r>
  <r>
    <x v="786"/>
    <x v="256"/>
    <s v="CUST787"/>
    <x v="0"/>
    <n v="41"/>
    <x v="1"/>
    <x v="2"/>
    <x v="2"/>
    <x v="3"/>
    <n v="25"/>
  </r>
  <r>
    <x v="787"/>
    <x v="325"/>
    <s v="CUST788"/>
    <x v="1"/>
    <n v="52"/>
    <x v="2"/>
    <x v="0"/>
    <x v="0"/>
    <x v="4"/>
    <n v="900"/>
  </r>
  <r>
    <x v="788"/>
    <x v="148"/>
    <s v="CUST789"/>
    <x v="1"/>
    <n v="61"/>
    <x v="2"/>
    <x v="1"/>
    <x v="3"/>
    <x v="1"/>
    <n v="2000"/>
  </r>
  <r>
    <x v="789"/>
    <x v="102"/>
    <s v="CUST790"/>
    <x v="0"/>
    <n v="62"/>
    <x v="2"/>
    <x v="1"/>
    <x v="2"/>
    <x v="3"/>
    <n v="25"/>
  </r>
  <r>
    <x v="790"/>
    <x v="59"/>
    <s v="CUST791"/>
    <x v="1"/>
    <n v="51"/>
    <x v="2"/>
    <x v="0"/>
    <x v="2"/>
    <x v="3"/>
    <n v="25"/>
  </r>
  <r>
    <x v="791"/>
    <x v="67"/>
    <s v="CUST792"/>
    <x v="1"/>
    <n v="20"/>
    <x v="0"/>
    <x v="0"/>
    <x v="2"/>
    <x v="0"/>
    <n v="50"/>
  </r>
  <r>
    <x v="792"/>
    <x v="57"/>
    <s v="CUST793"/>
    <x v="0"/>
    <n v="54"/>
    <x v="2"/>
    <x v="0"/>
    <x v="2"/>
    <x v="2"/>
    <n v="30"/>
  </r>
  <r>
    <x v="793"/>
    <x v="129"/>
    <s v="CUST794"/>
    <x v="1"/>
    <n v="60"/>
    <x v="2"/>
    <x v="0"/>
    <x v="2"/>
    <x v="4"/>
    <n v="300"/>
  </r>
  <r>
    <x v="794"/>
    <x v="73"/>
    <s v="CUST795"/>
    <x v="0"/>
    <n v="57"/>
    <x v="2"/>
    <x v="2"/>
    <x v="2"/>
    <x v="4"/>
    <n v="300"/>
  </r>
  <r>
    <x v="795"/>
    <x v="33"/>
    <s v="CUST796"/>
    <x v="0"/>
    <n v="43"/>
    <x v="1"/>
    <x v="0"/>
    <x v="3"/>
    <x v="2"/>
    <n v="120"/>
  </r>
  <r>
    <x v="796"/>
    <x v="326"/>
    <s v="CUST797"/>
    <x v="0"/>
    <n v="40"/>
    <x v="1"/>
    <x v="1"/>
    <x v="0"/>
    <x v="3"/>
    <n v="75"/>
  </r>
  <r>
    <x v="797"/>
    <x v="279"/>
    <s v="CUST798"/>
    <x v="0"/>
    <n v="61"/>
    <x v="2"/>
    <x v="1"/>
    <x v="2"/>
    <x v="0"/>
    <n v="50"/>
  </r>
  <r>
    <x v="798"/>
    <x v="140"/>
    <s v="CUST799"/>
    <x v="0"/>
    <n v="56"/>
    <x v="2"/>
    <x v="2"/>
    <x v="1"/>
    <x v="0"/>
    <n v="100"/>
  </r>
  <r>
    <x v="799"/>
    <x v="130"/>
    <s v="CUST800"/>
    <x v="0"/>
    <n v="32"/>
    <x v="0"/>
    <x v="1"/>
    <x v="3"/>
    <x v="4"/>
    <n v="1200"/>
  </r>
  <r>
    <x v="800"/>
    <x v="327"/>
    <s v="CUST801"/>
    <x v="0"/>
    <n v="21"/>
    <x v="0"/>
    <x v="1"/>
    <x v="3"/>
    <x v="0"/>
    <n v="200"/>
  </r>
  <r>
    <x v="801"/>
    <x v="53"/>
    <s v="CUST802"/>
    <x v="1"/>
    <n v="46"/>
    <x v="1"/>
    <x v="0"/>
    <x v="2"/>
    <x v="2"/>
    <n v="30"/>
  </r>
  <r>
    <x v="802"/>
    <x v="64"/>
    <s v="CUST803"/>
    <x v="0"/>
    <n v="39"/>
    <x v="1"/>
    <x v="1"/>
    <x v="3"/>
    <x v="3"/>
    <n v="100"/>
  </r>
  <r>
    <x v="803"/>
    <x v="44"/>
    <s v="CUST804"/>
    <x v="0"/>
    <n v="42"/>
    <x v="1"/>
    <x v="2"/>
    <x v="2"/>
    <x v="2"/>
    <n v="30"/>
  </r>
  <r>
    <x v="804"/>
    <x v="167"/>
    <s v="CUST805"/>
    <x v="1"/>
    <n v="30"/>
    <x v="0"/>
    <x v="0"/>
    <x v="0"/>
    <x v="1"/>
    <n v="1500"/>
  </r>
  <r>
    <x v="805"/>
    <x v="111"/>
    <s v="CUST806"/>
    <x v="1"/>
    <n v="35"/>
    <x v="0"/>
    <x v="0"/>
    <x v="0"/>
    <x v="4"/>
    <n v="900"/>
  </r>
  <r>
    <x v="806"/>
    <x v="124"/>
    <s v="CUST807"/>
    <x v="1"/>
    <n v="50"/>
    <x v="1"/>
    <x v="2"/>
    <x v="3"/>
    <x v="0"/>
    <n v="200"/>
  </r>
  <r>
    <x v="807"/>
    <x v="258"/>
    <s v="CUST808"/>
    <x v="0"/>
    <n v="33"/>
    <x v="0"/>
    <x v="0"/>
    <x v="3"/>
    <x v="1"/>
    <n v="2000"/>
  </r>
  <r>
    <x v="808"/>
    <x v="223"/>
    <s v="CUST809"/>
    <x v="1"/>
    <n v="62"/>
    <x v="2"/>
    <x v="0"/>
    <x v="1"/>
    <x v="0"/>
    <n v="100"/>
  </r>
  <r>
    <x v="809"/>
    <x v="198"/>
    <s v="CUST810"/>
    <x v="0"/>
    <n v="59"/>
    <x v="2"/>
    <x v="2"/>
    <x v="3"/>
    <x v="3"/>
    <n v="100"/>
  </r>
  <r>
    <x v="810"/>
    <x v="79"/>
    <s v="CUST811"/>
    <x v="0"/>
    <n v="61"/>
    <x v="2"/>
    <x v="0"/>
    <x v="1"/>
    <x v="3"/>
    <n v="50"/>
  </r>
  <r>
    <x v="811"/>
    <x v="281"/>
    <s v="CUST812"/>
    <x v="0"/>
    <n v="19"/>
    <x v="0"/>
    <x v="2"/>
    <x v="0"/>
    <x v="3"/>
    <n v="75"/>
  </r>
  <r>
    <x v="812"/>
    <x v="99"/>
    <s v="CUST813"/>
    <x v="0"/>
    <n v="52"/>
    <x v="2"/>
    <x v="2"/>
    <x v="0"/>
    <x v="0"/>
    <n v="150"/>
  </r>
  <r>
    <x v="813"/>
    <x v="328"/>
    <s v="CUST814"/>
    <x v="1"/>
    <n v="59"/>
    <x v="2"/>
    <x v="1"/>
    <x v="2"/>
    <x v="1"/>
    <n v="500"/>
  </r>
  <r>
    <x v="814"/>
    <x v="286"/>
    <s v="CUST815"/>
    <x v="1"/>
    <n v="51"/>
    <x v="2"/>
    <x v="1"/>
    <x v="0"/>
    <x v="3"/>
    <n v="75"/>
  </r>
  <r>
    <x v="815"/>
    <x v="269"/>
    <s v="CUST816"/>
    <x v="0"/>
    <n v="47"/>
    <x v="1"/>
    <x v="0"/>
    <x v="1"/>
    <x v="1"/>
    <n v="1000"/>
  </r>
  <r>
    <x v="816"/>
    <x v="315"/>
    <s v="CUST817"/>
    <x v="0"/>
    <n v="30"/>
    <x v="0"/>
    <x v="0"/>
    <x v="3"/>
    <x v="0"/>
    <n v="200"/>
  </r>
  <r>
    <x v="817"/>
    <x v="88"/>
    <s v="CUST818"/>
    <x v="0"/>
    <n v="30"/>
    <x v="0"/>
    <x v="2"/>
    <x v="2"/>
    <x v="1"/>
    <n v="500"/>
  </r>
  <r>
    <x v="818"/>
    <x v="139"/>
    <s v="CUST819"/>
    <x v="1"/>
    <n v="35"/>
    <x v="0"/>
    <x v="0"/>
    <x v="1"/>
    <x v="0"/>
    <n v="100"/>
  </r>
  <r>
    <x v="819"/>
    <x v="4"/>
    <s v="CUST820"/>
    <x v="0"/>
    <n v="49"/>
    <x v="1"/>
    <x v="2"/>
    <x v="3"/>
    <x v="0"/>
    <n v="200"/>
  </r>
  <r>
    <x v="820"/>
    <x v="10"/>
    <s v="CUST821"/>
    <x v="0"/>
    <n v="49"/>
    <x v="1"/>
    <x v="2"/>
    <x v="2"/>
    <x v="4"/>
    <n v="300"/>
  </r>
  <r>
    <x v="821"/>
    <x v="29"/>
    <s v="CUST822"/>
    <x v="1"/>
    <n v="52"/>
    <x v="2"/>
    <x v="0"/>
    <x v="0"/>
    <x v="0"/>
    <n v="150"/>
  </r>
  <r>
    <x v="822"/>
    <x v="304"/>
    <s v="CUST823"/>
    <x v="1"/>
    <n v="56"/>
    <x v="2"/>
    <x v="2"/>
    <x v="1"/>
    <x v="0"/>
    <n v="100"/>
  </r>
  <r>
    <x v="823"/>
    <x v="179"/>
    <s v="CUST824"/>
    <x v="0"/>
    <n v="63"/>
    <x v="2"/>
    <x v="1"/>
    <x v="3"/>
    <x v="2"/>
    <n v="120"/>
  </r>
  <r>
    <x v="824"/>
    <x v="300"/>
    <s v="CUST825"/>
    <x v="1"/>
    <n v="46"/>
    <x v="1"/>
    <x v="0"/>
    <x v="2"/>
    <x v="3"/>
    <n v="25"/>
  </r>
  <r>
    <x v="825"/>
    <x v="218"/>
    <s v="CUST826"/>
    <x v="1"/>
    <n v="46"/>
    <x v="1"/>
    <x v="1"/>
    <x v="2"/>
    <x v="4"/>
    <n v="300"/>
  </r>
  <r>
    <x v="826"/>
    <x v="289"/>
    <s v="CUST827"/>
    <x v="0"/>
    <n v="61"/>
    <x v="2"/>
    <x v="0"/>
    <x v="0"/>
    <x v="4"/>
    <n v="900"/>
  </r>
  <r>
    <x v="827"/>
    <x v="174"/>
    <s v="CUST828"/>
    <x v="1"/>
    <n v="33"/>
    <x v="0"/>
    <x v="2"/>
    <x v="3"/>
    <x v="4"/>
    <n v="1200"/>
  </r>
  <r>
    <x v="828"/>
    <x v="37"/>
    <s v="CUST829"/>
    <x v="0"/>
    <n v="61"/>
    <x v="2"/>
    <x v="0"/>
    <x v="0"/>
    <x v="2"/>
    <n v="90"/>
  </r>
  <r>
    <x v="829"/>
    <x v="36"/>
    <s v="CUST830"/>
    <x v="1"/>
    <n v="64"/>
    <x v="2"/>
    <x v="1"/>
    <x v="0"/>
    <x v="0"/>
    <n v="150"/>
  </r>
  <r>
    <x v="830"/>
    <x v="267"/>
    <s v="CUST831"/>
    <x v="0"/>
    <n v="27"/>
    <x v="0"/>
    <x v="2"/>
    <x v="3"/>
    <x v="3"/>
    <n v="100"/>
  </r>
  <r>
    <x v="831"/>
    <x v="296"/>
    <s v="CUST832"/>
    <x v="0"/>
    <n v="47"/>
    <x v="1"/>
    <x v="0"/>
    <x v="3"/>
    <x v="1"/>
    <n v="2000"/>
  </r>
  <r>
    <x v="832"/>
    <x v="83"/>
    <s v="CUST833"/>
    <x v="0"/>
    <n v="42"/>
    <x v="1"/>
    <x v="0"/>
    <x v="3"/>
    <x v="0"/>
    <n v="200"/>
  </r>
  <r>
    <x v="833"/>
    <x v="194"/>
    <s v="CUST834"/>
    <x v="1"/>
    <n v="56"/>
    <x v="2"/>
    <x v="0"/>
    <x v="1"/>
    <x v="2"/>
    <n v="60"/>
  </r>
  <r>
    <x v="834"/>
    <x v="206"/>
    <s v="CUST835"/>
    <x v="0"/>
    <n v="37"/>
    <x v="1"/>
    <x v="1"/>
    <x v="3"/>
    <x v="0"/>
    <n v="200"/>
  </r>
  <r>
    <x v="835"/>
    <x v="90"/>
    <s v="CUST836"/>
    <x v="1"/>
    <n v="22"/>
    <x v="0"/>
    <x v="1"/>
    <x v="2"/>
    <x v="0"/>
    <n v="50"/>
  </r>
  <r>
    <x v="836"/>
    <x v="68"/>
    <s v="CUST837"/>
    <x v="0"/>
    <n v="18"/>
    <x v="0"/>
    <x v="0"/>
    <x v="0"/>
    <x v="2"/>
    <n v="90"/>
  </r>
  <r>
    <x v="837"/>
    <x v="305"/>
    <s v="CUST838"/>
    <x v="0"/>
    <n v="47"/>
    <x v="1"/>
    <x v="2"/>
    <x v="1"/>
    <x v="4"/>
    <n v="600"/>
  </r>
  <r>
    <x v="838"/>
    <x v="33"/>
    <s v="CUST839"/>
    <x v="1"/>
    <n v="20"/>
    <x v="0"/>
    <x v="2"/>
    <x v="3"/>
    <x v="4"/>
    <n v="1200"/>
  </r>
  <r>
    <x v="839"/>
    <x v="329"/>
    <s v="CUST840"/>
    <x v="0"/>
    <n v="62"/>
    <x v="2"/>
    <x v="1"/>
    <x v="1"/>
    <x v="3"/>
    <n v="50"/>
  </r>
  <r>
    <x v="840"/>
    <x v="113"/>
    <s v="CUST841"/>
    <x v="0"/>
    <n v="31"/>
    <x v="0"/>
    <x v="2"/>
    <x v="3"/>
    <x v="3"/>
    <n v="100"/>
  </r>
  <r>
    <x v="841"/>
    <x v="24"/>
    <s v="CUST842"/>
    <x v="1"/>
    <n v="47"/>
    <x v="1"/>
    <x v="1"/>
    <x v="1"/>
    <x v="4"/>
    <n v="600"/>
  </r>
  <r>
    <x v="842"/>
    <x v="247"/>
    <s v="CUST843"/>
    <x v="0"/>
    <n v="21"/>
    <x v="0"/>
    <x v="0"/>
    <x v="0"/>
    <x v="1"/>
    <n v="1500"/>
  </r>
  <r>
    <x v="843"/>
    <x v="205"/>
    <s v="CUST844"/>
    <x v="0"/>
    <n v="35"/>
    <x v="0"/>
    <x v="1"/>
    <x v="0"/>
    <x v="0"/>
    <n v="150"/>
  </r>
  <r>
    <x v="844"/>
    <x v="121"/>
    <s v="CUST845"/>
    <x v="0"/>
    <n v="54"/>
    <x v="2"/>
    <x v="1"/>
    <x v="2"/>
    <x v="1"/>
    <n v="500"/>
  </r>
  <r>
    <x v="845"/>
    <x v="161"/>
    <s v="CUST846"/>
    <x v="0"/>
    <n v="42"/>
    <x v="1"/>
    <x v="0"/>
    <x v="2"/>
    <x v="0"/>
    <n v="50"/>
  </r>
  <r>
    <x v="846"/>
    <x v="181"/>
    <s v="CUST847"/>
    <x v="1"/>
    <n v="18"/>
    <x v="0"/>
    <x v="2"/>
    <x v="3"/>
    <x v="4"/>
    <n v="1200"/>
  </r>
  <r>
    <x v="847"/>
    <x v="146"/>
    <s v="CUST848"/>
    <x v="1"/>
    <n v="63"/>
    <x v="2"/>
    <x v="1"/>
    <x v="0"/>
    <x v="3"/>
    <n v="75"/>
  </r>
  <r>
    <x v="848"/>
    <x v="145"/>
    <s v="CUST849"/>
    <x v="0"/>
    <n v="32"/>
    <x v="0"/>
    <x v="1"/>
    <x v="1"/>
    <x v="3"/>
    <n v="50"/>
  </r>
  <r>
    <x v="849"/>
    <x v="180"/>
    <s v="CUST850"/>
    <x v="1"/>
    <n v="26"/>
    <x v="0"/>
    <x v="0"/>
    <x v="1"/>
    <x v="1"/>
    <n v="1000"/>
  </r>
  <r>
    <x v="850"/>
    <x v="140"/>
    <s v="CUST851"/>
    <x v="0"/>
    <n v="32"/>
    <x v="0"/>
    <x v="2"/>
    <x v="1"/>
    <x v="3"/>
    <n v="50"/>
  </r>
  <r>
    <x v="851"/>
    <x v="205"/>
    <s v="CUST852"/>
    <x v="1"/>
    <n v="41"/>
    <x v="1"/>
    <x v="1"/>
    <x v="2"/>
    <x v="4"/>
    <n v="300"/>
  </r>
  <r>
    <x v="852"/>
    <x v="145"/>
    <s v="CUST853"/>
    <x v="0"/>
    <n v="21"/>
    <x v="0"/>
    <x v="0"/>
    <x v="1"/>
    <x v="1"/>
    <n v="1000"/>
  </r>
  <r>
    <x v="853"/>
    <x v="156"/>
    <s v="CUST854"/>
    <x v="0"/>
    <n v="29"/>
    <x v="0"/>
    <x v="1"/>
    <x v="2"/>
    <x v="0"/>
    <n v="50"/>
  </r>
  <r>
    <x v="854"/>
    <x v="152"/>
    <s v="CUST855"/>
    <x v="0"/>
    <n v="54"/>
    <x v="2"/>
    <x v="0"/>
    <x v="2"/>
    <x v="3"/>
    <n v="25"/>
  </r>
  <r>
    <x v="855"/>
    <x v="188"/>
    <s v="CUST856"/>
    <x v="0"/>
    <n v="54"/>
    <x v="2"/>
    <x v="2"/>
    <x v="3"/>
    <x v="2"/>
    <n v="120"/>
  </r>
  <r>
    <x v="856"/>
    <x v="330"/>
    <s v="CUST857"/>
    <x v="0"/>
    <n v="60"/>
    <x v="2"/>
    <x v="2"/>
    <x v="1"/>
    <x v="3"/>
    <n v="50"/>
  </r>
  <r>
    <x v="857"/>
    <x v="331"/>
    <s v="CUST858"/>
    <x v="0"/>
    <n v="23"/>
    <x v="0"/>
    <x v="2"/>
    <x v="1"/>
    <x v="0"/>
    <n v="100"/>
  </r>
  <r>
    <x v="858"/>
    <x v="27"/>
    <s v="CUST859"/>
    <x v="1"/>
    <n v="56"/>
    <x v="2"/>
    <x v="2"/>
    <x v="0"/>
    <x v="1"/>
    <n v="1500"/>
  </r>
  <r>
    <x v="859"/>
    <x v="332"/>
    <s v="CUST860"/>
    <x v="0"/>
    <n v="63"/>
    <x v="2"/>
    <x v="1"/>
    <x v="3"/>
    <x v="0"/>
    <n v="200"/>
  </r>
  <r>
    <x v="860"/>
    <x v="15"/>
    <s v="CUST861"/>
    <x v="1"/>
    <n v="41"/>
    <x v="1"/>
    <x v="1"/>
    <x v="0"/>
    <x v="2"/>
    <n v="90"/>
  </r>
  <r>
    <x v="861"/>
    <x v="50"/>
    <s v="CUST862"/>
    <x v="0"/>
    <n v="28"/>
    <x v="0"/>
    <x v="2"/>
    <x v="3"/>
    <x v="4"/>
    <n v="1200"/>
  </r>
  <r>
    <x v="862"/>
    <x v="262"/>
    <s v="CUST863"/>
    <x v="1"/>
    <n v="30"/>
    <x v="0"/>
    <x v="2"/>
    <x v="1"/>
    <x v="3"/>
    <n v="50"/>
  </r>
  <r>
    <x v="863"/>
    <x v="282"/>
    <s v="CUST864"/>
    <x v="1"/>
    <n v="51"/>
    <x v="2"/>
    <x v="2"/>
    <x v="2"/>
    <x v="1"/>
    <n v="500"/>
  </r>
  <r>
    <x v="864"/>
    <x v="333"/>
    <s v="CUST865"/>
    <x v="1"/>
    <n v="42"/>
    <x v="1"/>
    <x v="1"/>
    <x v="2"/>
    <x v="4"/>
    <n v="300"/>
  </r>
  <r>
    <x v="865"/>
    <x v="179"/>
    <s v="CUST866"/>
    <x v="0"/>
    <n v="24"/>
    <x v="0"/>
    <x v="2"/>
    <x v="2"/>
    <x v="0"/>
    <n v="50"/>
  </r>
  <r>
    <x v="866"/>
    <x v="264"/>
    <s v="CUST867"/>
    <x v="0"/>
    <n v="21"/>
    <x v="0"/>
    <x v="2"/>
    <x v="2"/>
    <x v="1"/>
    <n v="500"/>
  </r>
  <r>
    <x v="867"/>
    <x v="237"/>
    <s v="CUST868"/>
    <x v="1"/>
    <n v="25"/>
    <x v="0"/>
    <x v="2"/>
    <x v="2"/>
    <x v="4"/>
    <n v="300"/>
  </r>
  <r>
    <x v="868"/>
    <x v="268"/>
    <s v="CUST869"/>
    <x v="0"/>
    <n v="37"/>
    <x v="1"/>
    <x v="0"/>
    <x v="0"/>
    <x v="1"/>
    <n v="1500"/>
  </r>
  <r>
    <x v="869"/>
    <x v="321"/>
    <s v="CUST870"/>
    <x v="1"/>
    <n v="46"/>
    <x v="1"/>
    <x v="2"/>
    <x v="3"/>
    <x v="2"/>
    <n v="120"/>
  </r>
  <r>
    <x v="870"/>
    <x v="178"/>
    <s v="CUST871"/>
    <x v="0"/>
    <n v="62"/>
    <x v="2"/>
    <x v="0"/>
    <x v="1"/>
    <x v="2"/>
    <n v="60"/>
  </r>
  <r>
    <x v="871"/>
    <x v="120"/>
    <s v="CUST872"/>
    <x v="1"/>
    <n v="63"/>
    <x v="2"/>
    <x v="0"/>
    <x v="0"/>
    <x v="3"/>
    <n v="75"/>
  </r>
  <r>
    <x v="872"/>
    <x v="136"/>
    <s v="CUST873"/>
    <x v="1"/>
    <n v="27"/>
    <x v="0"/>
    <x v="2"/>
    <x v="3"/>
    <x v="3"/>
    <n v="100"/>
  </r>
  <r>
    <x v="873"/>
    <x v="40"/>
    <s v="CUST874"/>
    <x v="0"/>
    <n v="60"/>
    <x v="2"/>
    <x v="0"/>
    <x v="2"/>
    <x v="2"/>
    <n v="30"/>
  </r>
  <r>
    <x v="874"/>
    <x v="298"/>
    <s v="CUST875"/>
    <x v="1"/>
    <n v="51"/>
    <x v="2"/>
    <x v="2"/>
    <x v="3"/>
    <x v="1"/>
    <n v="2000"/>
  </r>
  <r>
    <x v="875"/>
    <x v="153"/>
    <s v="CUST876"/>
    <x v="0"/>
    <n v="43"/>
    <x v="1"/>
    <x v="1"/>
    <x v="3"/>
    <x v="2"/>
    <n v="120"/>
  </r>
  <r>
    <x v="876"/>
    <x v="171"/>
    <s v="CUST877"/>
    <x v="1"/>
    <n v="58"/>
    <x v="2"/>
    <x v="1"/>
    <x v="2"/>
    <x v="3"/>
    <n v="25"/>
  </r>
  <r>
    <x v="877"/>
    <x v="313"/>
    <s v="CUST878"/>
    <x v="1"/>
    <n v="20"/>
    <x v="0"/>
    <x v="1"/>
    <x v="2"/>
    <x v="2"/>
    <n v="30"/>
  </r>
  <r>
    <x v="878"/>
    <x v="24"/>
    <s v="CUST879"/>
    <x v="0"/>
    <n v="23"/>
    <x v="0"/>
    <x v="1"/>
    <x v="2"/>
    <x v="2"/>
    <n v="30"/>
  </r>
  <r>
    <x v="879"/>
    <x v="63"/>
    <s v="CUST880"/>
    <x v="0"/>
    <n v="22"/>
    <x v="0"/>
    <x v="0"/>
    <x v="1"/>
    <x v="1"/>
    <n v="1000"/>
  </r>
  <r>
    <x v="880"/>
    <x v="79"/>
    <s v="CUST881"/>
    <x v="0"/>
    <n v="22"/>
    <x v="0"/>
    <x v="2"/>
    <x v="2"/>
    <x v="4"/>
    <n v="300"/>
  </r>
  <r>
    <x v="881"/>
    <x v="264"/>
    <s v="CUST882"/>
    <x v="1"/>
    <n v="64"/>
    <x v="2"/>
    <x v="2"/>
    <x v="1"/>
    <x v="3"/>
    <n v="50"/>
  </r>
  <r>
    <x v="882"/>
    <x v="119"/>
    <s v="CUST883"/>
    <x v="0"/>
    <n v="40"/>
    <x v="1"/>
    <x v="2"/>
    <x v="2"/>
    <x v="1"/>
    <n v="500"/>
  </r>
  <r>
    <x v="883"/>
    <x v="310"/>
    <s v="CUST884"/>
    <x v="1"/>
    <n v="26"/>
    <x v="0"/>
    <x v="1"/>
    <x v="1"/>
    <x v="2"/>
    <n v="60"/>
  </r>
  <r>
    <x v="884"/>
    <x v="163"/>
    <s v="CUST885"/>
    <x v="1"/>
    <n v="52"/>
    <x v="2"/>
    <x v="1"/>
    <x v="3"/>
    <x v="2"/>
    <n v="120"/>
  </r>
  <r>
    <x v="885"/>
    <x v="55"/>
    <s v="CUST886"/>
    <x v="0"/>
    <n v="37"/>
    <x v="1"/>
    <x v="2"/>
    <x v="0"/>
    <x v="4"/>
    <n v="900"/>
  </r>
  <r>
    <x v="886"/>
    <x v="86"/>
    <s v="CUST887"/>
    <x v="0"/>
    <n v="59"/>
    <x v="2"/>
    <x v="1"/>
    <x v="3"/>
    <x v="3"/>
    <n v="100"/>
  </r>
  <r>
    <x v="887"/>
    <x v="163"/>
    <s v="CUST888"/>
    <x v="1"/>
    <n v="52"/>
    <x v="2"/>
    <x v="2"/>
    <x v="3"/>
    <x v="3"/>
    <n v="100"/>
  </r>
  <r>
    <x v="888"/>
    <x v="45"/>
    <s v="CUST889"/>
    <x v="1"/>
    <n v="35"/>
    <x v="0"/>
    <x v="2"/>
    <x v="2"/>
    <x v="0"/>
    <n v="50"/>
  </r>
  <r>
    <x v="889"/>
    <x v="156"/>
    <s v="CUST890"/>
    <x v="0"/>
    <n v="34"/>
    <x v="0"/>
    <x v="2"/>
    <x v="1"/>
    <x v="3"/>
    <n v="50"/>
  </r>
  <r>
    <x v="890"/>
    <x v="334"/>
    <s v="CUST891"/>
    <x v="0"/>
    <n v="41"/>
    <x v="1"/>
    <x v="2"/>
    <x v="0"/>
    <x v="4"/>
    <n v="900"/>
  </r>
  <r>
    <x v="891"/>
    <x v="55"/>
    <s v="CUST892"/>
    <x v="0"/>
    <n v="20"/>
    <x v="0"/>
    <x v="2"/>
    <x v="2"/>
    <x v="0"/>
    <n v="50"/>
  </r>
  <r>
    <x v="892"/>
    <x v="35"/>
    <s v="CUST893"/>
    <x v="0"/>
    <n v="49"/>
    <x v="1"/>
    <x v="2"/>
    <x v="2"/>
    <x v="0"/>
    <n v="50"/>
  </r>
  <r>
    <x v="893"/>
    <x v="328"/>
    <s v="CUST894"/>
    <x v="0"/>
    <n v="52"/>
    <x v="2"/>
    <x v="2"/>
    <x v="2"/>
    <x v="2"/>
    <n v="30"/>
  </r>
  <r>
    <x v="894"/>
    <x v="247"/>
    <s v="CUST895"/>
    <x v="1"/>
    <n v="55"/>
    <x v="2"/>
    <x v="1"/>
    <x v="3"/>
    <x v="2"/>
    <n v="120"/>
  </r>
  <r>
    <x v="895"/>
    <x v="28"/>
    <s v="CUST896"/>
    <x v="1"/>
    <n v="30"/>
    <x v="0"/>
    <x v="2"/>
    <x v="1"/>
    <x v="3"/>
    <n v="50"/>
  </r>
  <r>
    <x v="896"/>
    <x v="335"/>
    <s v="CUST897"/>
    <x v="1"/>
    <n v="64"/>
    <x v="2"/>
    <x v="2"/>
    <x v="1"/>
    <x v="0"/>
    <n v="100"/>
  </r>
  <r>
    <x v="897"/>
    <x v="113"/>
    <s v="CUST898"/>
    <x v="1"/>
    <n v="42"/>
    <x v="1"/>
    <x v="1"/>
    <x v="0"/>
    <x v="2"/>
    <n v="90"/>
  </r>
  <r>
    <x v="898"/>
    <x v="242"/>
    <s v="CUST899"/>
    <x v="0"/>
    <n v="26"/>
    <x v="0"/>
    <x v="1"/>
    <x v="1"/>
    <x v="4"/>
    <n v="600"/>
  </r>
  <r>
    <x v="899"/>
    <x v="62"/>
    <s v="CUST900"/>
    <x v="0"/>
    <n v="21"/>
    <x v="0"/>
    <x v="1"/>
    <x v="1"/>
    <x v="2"/>
    <n v="60"/>
  </r>
  <r>
    <x v="900"/>
    <x v="294"/>
    <s v="CUST901"/>
    <x v="0"/>
    <n v="31"/>
    <x v="0"/>
    <x v="2"/>
    <x v="2"/>
    <x v="2"/>
    <n v="30"/>
  </r>
  <r>
    <x v="901"/>
    <x v="207"/>
    <s v="CUST902"/>
    <x v="1"/>
    <n v="54"/>
    <x v="2"/>
    <x v="0"/>
    <x v="2"/>
    <x v="0"/>
    <n v="50"/>
  </r>
  <r>
    <x v="902"/>
    <x v="60"/>
    <s v="CUST903"/>
    <x v="1"/>
    <n v="51"/>
    <x v="2"/>
    <x v="0"/>
    <x v="3"/>
    <x v="0"/>
    <n v="200"/>
  </r>
  <r>
    <x v="903"/>
    <x v="336"/>
    <s v="CUST904"/>
    <x v="0"/>
    <n v="28"/>
    <x v="0"/>
    <x v="1"/>
    <x v="2"/>
    <x v="1"/>
    <n v="500"/>
  </r>
  <r>
    <x v="904"/>
    <x v="128"/>
    <s v="CUST905"/>
    <x v="0"/>
    <n v="58"/>
    <x v="2"/>
    <x v="0"/>
    <x v="2"/>
    <x v="4"/>
    <n v="300"/>
  </r>
  <r>
    <x v="905"/>
    <x v="234"/>
    <s v="CUST906"/>
    <x v="1"/>
    <n v="20"/>
    <x v="0"/>
    <x v="1"/>
    <x v="2"/>
    <x v="0"/>
    <n v="50"/>
  </r>
  <r>
    <x v="906"/>
    <x v="199"/>
    <s v="CUST907"/>
    <x v="1"/>
    <n v="45"/>
    <x v="1"/>
    <x v="2"/>
    <x v="2"/>
    <x v="3"/>
    <n v="25"/>
  </r>
  <r>
    <x v="907"/>
    <x v="167"/>
    <s v="CUST908"/>
    <x v="0"/>
    <n v="46"/>
    <x v="1"/>
    <x v="0"/>
    <x v="3"/>
    <x v="4"/>
    <n v="1200"/>
  </r>
  <r>
    <x v="908"/>
    <x v="77"/>
    <s v="CUST909"/>
    <x v="0"/>
    <n v="26"/>
    <x v="0"/>
    <x v="2"/>
    <x v="2"/>
    <x v="4"/>
    <n v="300"/>
  </r>
  <r>
    <x v="909"/>
    <x v="149"/>
    <s v="CUST910"/>
    <x v="1"/>
    <n v="20"/>
    <x v="0"/>
    <x v="0"/>
    <x v="0"/>
    <x v="0"/>
    <n v="150"/>
  </r>
  <r>
    <x v="910"/>
    <x v="3"/>
    <s v="CUST911"/>
    <x v="0"/>
    <n v="42"/>
    <x v="1"/>
    <x v="2"/>
    <x v="0"/>
    <x v="4"/>
    <n v="900"/>
  </r>
  <r>
    <x v="911"/>
    <x v="58"/>
    <s v="CUST912"/>
    <x v="0"/>
    <n v="51"/>
    <x v="2"/>
    <x v="0"/>
    <x v="0"/>
    <x v="0"/>
    <n v="150"/>
  </r>
  <r>
    <x v="912"/>
    <x v="185"/>
    <s v="CUST913"/>
    <x v="0"/>
    <n v="29"/>
    <x v="0"/>
    <x v="2"/>
    <x v="0"/>
    <x v="2"/>
    <n v="90"/>
  </r>
  <r>
    <x v="913"/>
    <x v="120"/>
    <s v="CUST914"/>
    <x v="1"/>
    <n v="59"/>
    <x v="2"/>
    <x v="2"/>
    <x v="2"/>
    <x v="1"/>
    <n v="500"/>
  </r>
  <r>
    <x v="914"/>
    <x v="337"/>
    <s v="CUST915"/>
    <x v="1"/>
    <n v="26"/>
    <x v="0"/>
    <x v="0"/>
    <x v="0"/>
    <x v="2"/>
    <n v="90"/>
  </r>
  <r>
    <x v="915"/>
    <x v="32"/>
    <s v="CUST916"/>
    <x v="1"/>
    <n v="32"/>
    <x v="0"/>
    <x v="2"/>
    <x v="2"/>
    <x v="0"/>
    <n v="50"/>
  </r>
  <r>
    <x v="916"/>
    <x v="149"/>
    <s v="CUST917"/>
    <x v="1"/>
    <n v="57"/>
    <x v="2"/>
    <x v="2"/>
    <x v="3"/>
    <x v="0"/>
    <n v="200"/>
  </r>
  <r>
    <x v="917"/>
    <x v="250"/>
    <s v="CUST918"/>
    <x v="1"/>
    <n v="42"/>
    <x v="1"/>
    <x v="2"/>
    <x v="0"/>
    <x v="2"/>
    <n v="90"/>
  </r>
  <r>
    <x v="918"/>
    <x v="331"/>
    <s v="CUST919"/>
    <x v="1"/>
    <n v="22"/>
    <x v="0"/>
    <x v="0"/>
    <x v="1"/>
    <x v="3"/>
    <n v="50"/>
  </r>
  <r>
    <x v="919"/>
    <x v="7"/>
    <s v="CUST920"/>
    <x v="1"/>
    <n v="28"/>
    <x v="0"/>
    <x v="0"/>
    <x v="0"/>
    <x v="3"/>
    <n v="75"/>
  </r>
  <r>
    <x v="920"/>
    <x v="326"/>
    <s v="CUST921"/>
    <x v="0"/>
    <n v="51"/>
    <x v="2"/>
    <x v="2"/>
    <x v="0"/>
    <x v="3"/>
    <n v="75"/>
  </r>
  <r>
    <x v="921"/>
    <x v="338"/>
    <s v="CUST922"/>
    <x v="0"/>
    <n v="41"/>
    <x v="1"/>
    <x v="2"/>
    <x v="2"/>
    <x v="0"/>
    <n v="50"/>
  </r>
  <r>
    <x v="922"/>
    <x v="232"/>
    <s v="CUST923"/>
    <x v="0"/>
    <n v="32"/>
    <x v="0"/>
    <x v="0"/>
    <x v="0"/>
    <x v="4"/>
    <n v="900"/>
  </r>
  <r>
    <x v="923"/>
    <x v="261"/>
    <s v="CUST924"/>
    <x v="0"/>
    <n v="55"/>
    <x v="2"/>
    <x v="0"/>
    <x v="1"/>
    <x v="0"/>
    <n v="100"/>
  </r>
  <r>
    <x v="924"/>
    <x v="339"/>
    <s v="CUST925"/>
    <x v="0"/>
    <n v="25"/>
    <x v="0"/>
    <x v="2"/>
    <x v="2"/>
    <x v="4"/>
    <n v="300"/>
  </r>
  <r>
    <x v="925"/>
    <x v="306"/>
    <s v="CUST926"/>
    <x v="0"/>
    <n v="22"/>
    <x v="0"/>
    <x v="2"/>
    <x v="2"/>
    <x v="2"/>
    <n v="30"/>
  </r>
  <r>
    <x v="926"/>
    <x v="33"/>
    <s v="CUST927"/>
    <x v="0"/>
    <n v="43"/>
    <x v="1"/>
    <x v="2"/>
    <x v="3"/>
    <x v="1"/>
    <n v="2000"/>
  </r>
  <r>
    <x v="927"/>
    <x v="334"/>
    <s v="CUST928"/>
    <x v="1"/>
    <n v="35"/>
    <x v="0"/>
    <x v="1"/>
    <x v="3"/>
    <x v="4"/>
    <n v="1200"/>
  </r>
  <r>
    <x v="928"/>
    <x v="246"/>
    <s v="CUST929"/>
    <x v="1"/>
    <n v="23"/>
    <x v="0"/>
    <x v="0"/>
    <x v="0"/>
    <x v="3"/>
    <n v="75"/>
  </r>
  <r>
    <x v="929"/>
    <x v="318"/>
    <s v="CUST930"/>
    <x v="0"/>
    <n v="54"/>
    <x v="2"/>
    <x v="1"/>
    <x v="3"/>
    <x v="0"/>
    <n v="200"/>
  </r>
  <r>
    <x v="930"/>
    <x v="211"/>
    <s v="CUST931"/>
    <x v="0"/>
    <n v="30"/>
    <x v="0"/>
    <x v="0"/>
    <x v="3"/>
    <x v="2"/>
    <n v="120"/>
  </r>
  <r>
    <x v="931"/>
    <x v="122"/>
    <s v="CUST932"/>
    <x v="1"/>
    <n v="45"/>
    <x v="1"/>
    <x v="0"/>
    <x v="3"/>
    <x v="3"/>
    <n v="100"/>
  </r>
  <r>
    <x v="932"/>
    <x v="89"/>
    <s v="CUST933"/>
    <x v="0"/>
    <n v="22"/>
    <x v="0"/>
    <x v="0"/>
    <x v="2"/>
    <x v="2"/>
    <n v="30"/>
  </r>
  <r>
    <x v="933"/>
    <x v="87"/>
    <s v="CUST934"/>
    <x v="0"/>
    <n v="30"/>
    <x v="0"/>
    <x v="0"/>
    <x v="2"/>
    <x v="1"/>
    <n v="500"/>
  </r>
  <r>
    <x v="934"/>
    <x v="331"/>
    <s v="CUST935"/>
    <x v="1"/>
    <n v="34"/>
    <x v="0"/>
    <x v="0"/>
    <x v="2"/>
    <x v="0"/>
    <n v="50"/>
  </r>
  <r>
    <x v="935"/>
    <x v="227"/>
    <s v="CUST936"/>
    <x v="0"/>
    <n v="57"/>
    <x v="2"/>
    <x v="0"/>
    <x v="3"/>
    <x v="0"/>
    <n v="200"/>
  </r>
  <r>
    <x v="936"/>
    <x v="54"/>
    <s v="CUST937"/>
    <x v="1"/>
    <n v="62"/>
    <x v="2"/>
    <x v="0"/>
    <x v="2"/>
    <x v="1"/>
    <n v="500"/>
  </r>
  <r>
    <x v="937"/>
    <x v="292"/>
    <s v="CUST938"/>
    <x v="0"/>
    <n v="49"/>
    <x v="1"/>
    <x v="1"/>
    <x v="3"/>
    <x v="0"/>
    <n v="200"/>
  </r>
  <r>
    <x v="938"/>
    <x v="244"/>
    <s v="CUST939"/>
    <x v="1"/>
    <n v="46"/>
    <x v="1"/>
    <x v="2"/>
    <x v="2"/>
    <x v="4"/>
    <n v="300"/>
  </r>
  <r>
    <x v="939"/>
    <x v="185"/>
    <s v="CUST940"/>
    <x v="1"/>
    <n v="20"/>
    <x v="0"/>
    <x v="2"/>
    <x v="2"/>
    <x v="2"/>
    <n v="30"/>
  </r>
  <r>
    <x v="940"/>
    <x v="309"/>
    <s v="CUST941"/>
    <x v="1"/>
    <n v="57"/>
    <x v="2"/>
    <x v="1"/>
    <x v="1"/>
    <x v="3"/>
    <n v="50"/>
  </r>
  <r>
    <x v="941"/>
    <x v="253"/>
    <s v="CUST942"/>
    <x v="0"/>
    <n v="51"/>
    <x v="2"/>
    <x v="1"/>
    <x v="0"/>
    <x v="1"/>
    <n v="1500"/>
  </r>
  <r>
    <x v="942"/>
    <x v="230"/>
    <s v="CUST943"/>
    <x v="1"/>
    <n v="57"/>
    <x v="2"/>
    <x v="1"/>
    <x v="3"/>
    <x v="4"/>
    <n v="1200"/>
  </r>
  <r>
    <x v="943"/>
    <x v="284"/>
    <s v="CUST944"/>
    <x v="0"/>
    <n v="44"/>
    <x v="1"/>
    <x v="1"/>
    <x v="1"/>
    <x v="3"/>
    <n v="50"/>
  </r>
  <r>
    <x v="944"/>
    <x v="146"/>
    <s v="CUST945"/>
    <x v="0"/>
    <n v="30"/>
    <x v="0"/>
    <x v="0"/>
    <x v="2"/>
    <x v="3"/>
    <n v="25"/>
  </r>
  <r>
    <x v="945"/>
    <x v="193"/>
    <s v="CUST946"/>
    <x v="0"/>
    <n v="62"/>
    <x v="2"/>
    <x v="2"/>
    <x v="3"/>
    <x v="1"/>
    <n v="2000"/>
  </r>
  <r>
    <x v="946"/>
    <x v="340"/>
    <s v="CUST947"/>
    <x v="0"/>
    <n v="50"/>
    <x v="1"/>
    <x v="0"/>
    <x v="2"/>
    <x v="4"/>
    <n v="300"/>
  </r>
  <r>
    <x v="947"/>
    <x v="81"/>
    <s v="CUST948"/>
    <x v="1"/>
    <n v="23"/>
    <x v="0"/>
    <x v="2"/>
    <x v="0"/>
    <x v="3"/>
    <n v="75"/>
  </r>
  <r>
    <x v="948"/>
    <x v="341"/>
    <s v="CUST949"/>
    <x v="1"/>
    <n v="41"/>
    <x v="1"/>
    <x v="2"/>
    <x v="1"/>
    <x v="3"/>
    <n v="50"/>
  </r>
  <r>
    <x v="949"/>
    <x v="155"/>
    <s v="CUST950"/>
    <x v="0"/>
    <n v="36"/>
    <x v="1"/>
    <x v="1"/>
    <x v="0"/>
    <x v="4"/>
    <n v="900"/>
  </r>
  <r>
    <x v="950"/>
    <x v="113"/>
    <s v="CUST951"/>
    <x v="0"/>
    <n v="33"/>
    <x v="0"/>
    <x v="0"/>
    <x v="1"/>
    <x v="0"/>
    <n v="100"/>
  </r>
  <r>
    <x v="951"/>
    <x v="52"/>
    <s v="CUST952"/>
    <x v="1"/>
    <n v="57"/>
    <x v="2"/>
    <x v="1"/>
    <x v="2"/>
    <x v="3"/>
    <n v="25"/>
  </r>
  <r>
    <x v="952"/>
    <x v="164"/>
    <s v="CUST953"/>
    <x v="0"/>
    <n v="45"/>
    <x v="1"/>
    <x v="0"/>
    <x v="0"/>
    <x v="2"/>
    <n v="90"/>
  </r>
  <r>
    <x v="953"/>
    <x v="223"/>
    <s v="CUST954"/>
    <x v="1"/>
    <n v="50"/>
    <x v="1"/>
    <x v="2"/>
    <x v="0"/>
    <x v="4"/>
    <n v="900"/>
  </r>
  <r>
    <x v="954"/>
    <x v="37"/>
    <s v="CUST955"/>
    <x v="0"/>
    <n v="58"/>
    <x v="2"/>
    <x v="1"/>
    <x v="2"/>
    <x v="3"/>
    <n v="25"/>
  </r>
  <r>
    <x v="955"/>
    <x v="304"/>
    <s v="CUST956"/>
    <x v="0"/>
    <n v="30"/>
    <x v="0"/>
    <x v="1"/>
    <x v="0"/>
    <x v="1"/>
    <n v="1500"/>
  </r>
  <r>
    <x v="956"/>
    <x v="196"/>
    <s v="CUST957"/>
    <x v="1"/>
    <n v="60"/>
    <x v="2"/>
    <x v="2"/>
    <x v="3"/>
    <x v="2"/>
    <n v="120"/>
  </r>
  <r>
    <x v="957"/>
    <x v="132"/>
    <s v="CUST958"/>
    <x v="0"/>
    <n v="62"/>
    <x v="2"/>
    <x v="2"/>
    <x v="1"/>
    <x v="3"/>
    <n v="50"/>
  </r>
  <r>
    <x v="958"/>
    <x v="28"/>
    <s v="CUST959"/>
    <x v="1"/>
    <n v="42"/>
    <x v="1"/>
    <x v="2"/>
    <x v="1"/>
    <x v="2"/>
    <n v="60"/>
  </r>
  <r>
    <x v="959"/>
    <x v="102"/>
    <s v="CUST960"/>
    <x v="0"/>
    <n v="59"/>
    <x v="2"/>
    <x v="1"/>
    <x v="1"/>
    <x v="2"/>
    <n v="60"/>
  </r>
  <r>
    <x v="960"/>
    <x v="264"/>
    <s v="CUST961"/>
    <x v="0"/>
    <n v="53"/>
    <x v="2"/>
    <x v="0"/>
    <x v="3"/>
    <x v="0"/>
    <n v="200"/>
  </r>
  <r>
    <x v="961"/>
    <x v="218"/>
    <s v="CUST962"/>
    <x v="0"/>
    <n v="44"/>
    <x v="1"/>
    <x v="1"/>
    <x v="1"/>
    <x v="2"/>
    <n v="60"/>
  </r>
  <r>
    <x v="962"/>
    <x v="220"/>
    <s v="CUST963"/>
    <x v="1"/>
    <n v="55"/>
    <x v="2"/>
    <x v="0"/>
    <x v="2"/>
    <x v="0"/>
    <n v="50"/>
  </r>
  <r>
    <x v="963"/>
    <x v="169"/>
    <s v="CUST964"/>
    <x v="0"/>
    <n v="24"/>
    <x v="0"/>
    <x v="1"/>
    <x v="0"/>
    <x v="4"/>
    <n v="900"/>
  </r>
  <r>
    <x v="964"/>
    <x v="289"/>
    <s v="CUST965"/>
    <x v="0"/>
    <n v="22"/>
    <x v="0"/>
    <x v="1"/>
    <x v="3"/>
    <x v="0"/>
    <n v="200"/>
  </r>
  <r>
    <x v="965"/>
    <x v="189"/>
    <s v="CUST966"/>
    <x v="0"/>
    <n v="60"/>
    <x v="2"/>
    <x v="2"/>
    <x v="1"/>
    <x v="1"/>
    <n v="1000"/>
  </r>
  <r>
    <x v="966"/>
    <x v="342"/>
    <s v="CUST967"/>
    <x v="0"/>
    <n v="62"/>
    <x v="2"/>
    <x v="0"/>
    <x v="2"/>
    <x v="3"/>
    <n v="25"/>
  </r>
  <r>
    <x v="967"/>
    <x v="131"/>
    <s v="CUST968"/>
    <x v="1"/>
    <n v="48"/>
    <x v="1"/>
    <x v="1"/>
    <x v="0"/>
    <x v="4"/>
    <n v="900"/>
  </r>
  <r>
    <x v="968"/>
    <x v="90"/>
    <s v="CUST969"/>
    <x v="1"/>
    <n v="40"/>
    <x v="1"/>
    <x v="1"/>
    <x v="0"/>
    <x v="4"/>
    <n v="900"/>
  </r>
  <r>
    <x v="969"/>
    <x v="42"/>
    <s v="CUST970"/>
    <x v="0"/>
    <n v="59"/>
    <x v="2"/>
    <x v="2"/>
    <x v="3"/>
    <x v="1"/>
    <n v="2000"/>
  </r>
  <r>
    <x v="970"/>
    <x v="59"/>
    <s v="CUST971"/>
    <x v="1"/>
    <n v="27"/>
    <x v="0"/>
    <x v="2"/>
    <x v="3"/>
    <x v="0"/>
    <n v="200"/>
  </r>
  <r>
    <x v="971"/>
    <x v="213"/>
    <s v="CUST972"/>
    <x v="0"/>
    <n v="49"/>
    <x v="1"/>
    <x v="0"/>
    <x v="3"/>
    <x v="3"/>
    <n v="100"/>
  </r>
  <r>
    <x v="972"/>
    <x v="125"/>
    <s v="CUST973"/>
    <x v="0"/>
    <n v="60"/>
    <x v="2"/>
    <x v="1"/>
    <x v="2"/>
    <x v="0"/>
    <n v="50"/>
  </r>
  <r>
    <x v="973"/>
    <x v="143"/>
    <s v="CUST974"/>
    <x v="0"/>
    <n v="47"/>
    <x v="1"/>
    <x v="0"/>
    <x v="2"/>
    <x v="2"/>
    <n v="30"/>
  </r>
  <r>
    <x v="974"/>
    <x v="343"/>
    <s v="CUST975"/>
    <x v="1"/>
    <n v="56"/>
    <x v="2"/>
    <x v="1"/>
    <x v="3"/>
    <x v="0"/>
    <n v="200"/>
  </r>
  <r>
    <x v="975"/>
    <x v="49"/>
    <s v="CUST976"/>
    <x v="1"/>
    <n v="48"/>
    <x v="1"/>
    <x v="0"/>
    <x v="1"/>
    <x v="4"/>
    <n v="600"/>
  </r>
  <r>
    <x v="976"/>
    <x v="195"/>
    <s v="CUST977"/>
    <x v="1"/>
    <n v="35"/>
    <x v="0"/>
    <x v="2"/>
    <x v="0"/>
    <x v="3"/>
    <n v="75"/>
  </r>
  <r>
    <x v="977"/>
    <x v="125"/>
    <s v="CUST978"/>
    <x v="1"/>
    <n v="53"/>
    <x v="2"/>
    <x v="1"/>
    <x v="0"/>
    <x v="0"/>
    <n v="150"/>
  </r>
  <r>
    <x v="978"/>
    <x v="126"/>
    <s v="CUST979"/>
    <x v="1"/>
    <n v="19"/>
    <x v="0"/>
    <x v="0"/>
    <x v="2"/>
    <x v="3"/>
    <n v="25"/>
  </r>
  <r>
    <x v="979"/>
    <x v="277"/>
    <s v="CUST980"/>
    <x v="1"/>
    <n v="31"/>
    <x v="0"/>
    <x v="2"/>
    <x v="0"/>
    <x v="3"/>
    <n v="75"/>
  </r>
  <r>
    <x v="980"/>
    <x v="304"/>
    <s v="CUST981"/>
    <x v="1"/>
    <n v="30"/>
    <x v="0"/>
    <x v="2"/>
    <x v="1"/>
    <x v="2"/>
    <n v="60"/>
  </r>
  <r>
    <x v="981"/>
    <x v="80"/>
    <s v="CUST982"/>
    <x v="1"/>
    <n v="46"/>
    <x v="1"/>
    <x v="0"/>
    <x v="0"/>
    <x v="2"/>
    <n v="90"/>
  </r>
  <r>
    <x v="982"/>
    <x v="215"/>
    <s v="CUST983"/>
    <x v="1"/>
    <n v="29"/>
    <x v="0"/>
    <x v="1"/>
    <x v="2"/>
    <x v="4"/>
    <n v="300"/>
  </r>
  <r>
    <x v="983"/>
    <x v="261"/>
    <s v="CUST984"/>
    <x v="0"/>
    <n v="56"/>
    <x v="2"/>
    <x v="1"/>
    <x v="2"/>
    <x v="1"/>
    <n v="500"/>
  </r>
  <r>
    <x v="984"/>
    <x v="337"/>
    <s v="CUST985"/>
    <x v="1"/>
    <n v="19"/>
    <x v="0"/>
    <x v="2"/>
    <x v="1"/>
    <x v="3"/>
    <n v="50"/>
  </r>
  <r>
    <x v="985"/>
    <x v="13"/>
    <s v="CUST986"/>
    <x v="1"/>
    <n v="49"/>
    <x v="1"/>
    <x v="1"/>
    <x v="1"/>
    <x v="1"/>
    <n v="1000"/>
  </r>
  <r>
    <x v="986"/>
    <x v="310"/>
    <s v="CUST987"/>
    <x v="1"/>
    <n v="30"/>
    <x v="0"/>
    <x v="1"/>
    <x v="0"/>
    <x v="4"/>
    <n v="900"/>
  </r>
  <r>
    <x v="987"/>
    <x v="344"/>
    <s v="CUST988"/>
    <x v="1"/>
    <n v="63"/>
    <x v="2"/>
    <x v="1"/>
    <x v="0"/>
    <x v="3"/>
    <n v="75"/>
  </r>
  <r>
    <x v="988"/>
    <x v="251"/>
    <s v="CUST989"/>
    <x v="1"/>
    <n v="44"/>
    <x v="1"/>
    <x v="2"/>
    <x v="2"/>
    <x v="3"/>
    <n v="25"/>
  </r>
  <r>
    <x v="989"/>
    <x v="242"/>
    <s v="CUST990"/>
    <x v="1"/>
    <n v="58"/>
    <x v="2"/>
    <x v="0"/>
    <x v="1"/>
    <x v="1"/>
    <n v="1000"/>
  </r>
  <r>
    <x v="990"/>
    <x v="24"/>
    <s v="CUST991"/>
    <x v="1"/>
    <n v="34"/>
    <x v="0"/>
    <x v="1"/>
    <x v="1"/>
    <x v="0"/>
    <n v="100"/>
  </r>
  <r>
    <x v="991"/>
    <x v="63"/>
    <s v="CUST992"/>
    <x v="1"/>
    <n v="57"/>
    <x v="2"/>
    <x v="2"/>
    <x v="1"/>
    <x v="2"/>
    <n v="60"/>
  </r>
  <r>
    <x v="992"/>
    <x v="74"/>
    <s v="CUST993"/>
    <x v="1"/>
    <n v="48"/>
    <x v="1"/>
    <x v="2"/>
    <x v="0"/>
    <x v="0"/>
    <n v="150"/>
  </r>
  <r>
    <x v="993"/>
    <x v="244"/>
    <s v="CUST994"/>
    <x v="1"/>
    <n v="51"/>
    <x v="2"/>
    <x v="0"/>
    <x v="1"/>
    <x v="1"/>
    <n v="1000"/>
  </r>
  <r>
    <x v="994"/>
    <x v="17"/>
    <s v="CUST995"/>
    <x v="1"/>
    <n v="41"/>
    <x v="1"/>
    <x v="1"/>
    <x v="2"/>
    <x v="2"/>
    <n v="30"/>
  </r>
  <r>
    <x v="995"/>
    <x v="42"/>
    <s v="CUST996"/>
    <x v="0"/>
    <n v="62"/>
    <x v="2"/>
    <x v="1"/>
    <x v="2"/>
    <x v="0"/>
    <n v="50"/>
  </r>
  <r>
    <x v="996"/>
    <x v="131"/>
    <s v="CUST997"/>
    <x v="0"/>
    <n v="52"/>
    <x v="2"/>
    <x v="0"/>
    <x v="0"/>
    <x v="2"/>
    <n v="90"/>
  </r>
  <r>
    <x v="997"/>
    <x v="28"/>
    <s v="CUST998"/>
    <x v="1"/>
    <n v="23"/>
    <x v="0"/>
    <x v="0"/>
    <x v="3"/>
    <x v="3"/>
    <n v="100"/>
  </r>
  <r>
    <x v="998"/>
    <x v="59"/>
    <s v="CUST999"/>
    <x v="1"/>
    <n v="36"/>
    <x v="1"/>
    <x v="2"/>
    <x v="0"/>
    <x v="0"/>
    <n v="150"/>
  </r>
  <r>
    <x v="999"/>
    <x v="22"/>
    <s v="CUST1000"/>
    <x v="0"/>
    <n v="47"/>
    <x v="1"/>
    <x v="2"/>
    <x v="3"/>
    <x v="2"/>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73893-0AE5-4BE9-9604-29FACDCBC4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Age Group" colHeaderCaption="Product Categories">
  <location ref="A80:E85"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axis="axisCol" showAll="0">
      <items count="4">
        <item x="0"/>
        <item x="1"/>
        <item x="2"/>
        <item t="default"/>
      </items>
    </pivotField>
    <pivotField showAll="0"/>
    <pivotField numFmtId="164" showAll="0">
      <items count="8">
        <item x="0"/>
        <item x="1"/>
        <item x="2"/>
        <item x="3"/>
        <item x="4"/>
        <item x="5"/>
        <item x="6"/>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5">
        <item sd="0" x="0"/>
        <item x="1"/>
        <item x="2"/>
        <item sd="0" x="3"/>
        <item t="default"/>
      </items>
    </pivotField>
  </pivotFields>
  <rowFields count="1">
    <field x="5"/>
  </rowFields>
  <rowItems count="4">
    <i>
      <x/>
    </i>
    <i>
      <x v="1"/>
    </i>
    <i>
      <x v="2"/>
    </i>
    <i t="grand">
      <x/>
    </i>
  </rowItems>
  <colFields count="1">
    <field x="6"/>
  </colFields>
  <colItems count="4">
    <i>
      <x/>
    </i>
    <i>
      <x v="1"/>
    </i>
    <i>
      <x v="2"/>
    </i>
    <i t="grand">
      <x/>
    </i>
  </colItems>
  <dataFields count="1">
    <dataField name="Average Order Value" fld="9" subtotal="average" baseField="5" baseItem="0" numFmtId="164"/>
  </dataFields>
  <chartFormats count="6">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24" format="6" series="1">
      <pivotArea type="data" outline="0" fieldPosition="0">
        <references count="2">
          <reference field="4294967294" count="1" selected="0">
            <x v="0"/>
          </reference>
          <reference field="6" count="1" selected="0">
            <x v="0"/>
          </reference>
        </references>
      </pivotArea>
    </chartFormat>
    <chartFormat chart="24" format="7" series="1">
      <pivotArea type="data" outline="0" fieldPosition="0">
        <references count="2">
          <reference field="4294967294" count="1" selected="0">
            <x v="0"/>
          </reference>
          <reference field="6" count="1" selected="0">
            <x v="1"/>
          </reference>
        </references>
      </pivotArea>
    </chartFormat>
    <chartFormat chart="2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FDC9FF-E431-4FC1-B338-AA3A5FF2FC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Category">
  <location ref="A63:B6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axis="axisRow" showAll="0">
      <items count="4">
        <item x="0"/>
        <item x="1"/>
        <item x="2"/>
        <item t="default"/>
      </items>
    </pivotField>
    <pivotField dataField="1" showAll="0"/>
    <pivotField numFmtId="164" showAll="0">
      <items count="8">
        <item x="0"/>
        <item x="1"/>
        <item x="2"/>
        <item x="3"/>
        <item x="4"/>
        <item x="5"/>
        <item x="6"/>
        <item t="default"/>
      </items>
    </pivotField>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5">
        <item sd="0" x="0"/>
        <item x="1"/>
        <item x="2"/>
        <item sd="0" x="3"/>
        <item t="default"/>
      </items>
    </pivotField>
  </pivotFields>
  <rowFields count="1">
    <field x="6"/>
  </rowFields>
  <rowItems count="4">
    <i>
      <x/>
    </i>
    <i>
      <x v="1"/>
    </i>
    <i>
      <x v="2"/>
    </i>
    <i t="grand">
      <x/>
    </i>
  </rowItems>
  <colItems count="1">
    <i/>
  </colItems>
  <dataFields count="1">
    <dataField name="Total Quantity" fld="7" baseField="0" baseItem="0"/>
  </dataFields>
  <chartFormats count="7">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6" count="1" selected="0">
            <x v="0"/>
          </reference>
        </references>
      </pivotArea>
    </chartFormat>
    <chartFormat chart="19" format="4">
      <pivotArea type="data" outline="0" fieldPosition="0">
        <references count="2">
          <reference field="4294967294" count="1" selected="0">
            <x v="0"/>
          </reference>
          <reference field="6" count="1" selected="0">
            <x v="1"/>
          </reference>
        </references>
      </pivotArea>
    </chartFormat>
    <chartFormat chart="19" format="5">
      <pivotArea type="data" outline="0" fieldPosition="0">
        <references count="2">
          <reference field="4294967294" count="1" selected="0">
            <x v="0"/>
          </reference>
          <reference field="6" count="1" selected="0">
            <x v="2"/>
          </reference>
        </references>
      </pivotArea>
    </chartFormat>
    <chartFormat chart="13" format="1">
      <pivotArea type="data" outline="0" fieldPosition="0">
        <references count="2">
          <reference field="4294967294" count="1" selected="0">
            <x v="0"/>
          </reference>
          <reference field="6" count="1" selected="0">
            <x v="1"/>
          </reference>
        </references>
      </pivotArea>
    </chartFormat>
    <chartFormat chart="13" format="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8DDBC-0A6E-43ED-AFDA-28F45F17BA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ate">
  <location ref="A37:B58"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showAll="0"/>
    <pivotField showAll="0"/>
    <pivotField numFmtId="164" showAll="0">
      <items count="8">
        <item x="0"/>
        <item x="1"/>
        <item x="2"/>
        <item x="3"/>
        <item x="4"/>
        <item x="5"/>
        <item x="6"/>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2"/>
    <field x="11"/>
    <field x="10"/>
    <field x="1"/>
  </rowFields>
  <rowItems count="21">
    <i>
      <x v="1"/>
    </i>
    <i r="1">
      <x v="1"/>
    </i>
    <i r="2">
      <x v="1"/>
    </i>
    <i r="2">
      <x v="2"/>
    </i>
    <i r="2">
      <x v="3"/>
    </i>
    <i r="1">
      <x v="2"/>
    </i>
    <i r="2">
      <x v="4"/>
    </i>
    <i r="2">
      <x v="5"/>
    </i>
    <i r="2">
      <x v="6"/>
    </i>
    <i r="1">
      <x v="3"/>
    </i>
    <i r="2">
      <x v="7"/>
    </i>
    <i r="2">
      <x v="8"/>
    </i>
    <i r="2">
      <x v="9"/>
    </i>
    <i r="1">
      <x v="4"/>
    </i>
    <i r="2">
      <x v="10"/>
    </i>
    <i r="2">
      <x v="11"/>
    </i>
    <i r="2">
      <x v="12"/>
    </i>
    <i>
      <x v="2"/>
    </i>
    <i r="1">
      <x v="1"/>
    </i>
    <i r="2">
      <x v="1"/>
    </i>
    <i t="grand">
      <x/>
    </i>
  </rowItems>
  <colItems count="1">
    <i/>
  </colItems>
  <dataFields count="1">
    <dataField name="Total Revenue" fld="9" baseField="0" baseItem="0" numFmtId="164"/>
  </dataField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4">
          <reference field="4294967294" count="1" selected="0">
            <x v="0"/>
          </reference>
          <reference field="10" count="1" selected="0">
            <x v="9"/>
          </reference>
          <reference field="11" count="1" selected="0">
            <x v="3"/>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23190-4F77-45FD-B5E9-232F93BCC5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amp; Age Groups" colHeaderCaption="Product Category">
  <location ref="A3:I14" firstHeaderRow="1" firstDataRow="3"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Row" showAll="0">
      <items count="4">
        <item x="0"/>
        <item x="1"/>
        <item x="2"/>
        <item t="default"/>
      </items>
    </pivotField>
    <pivotField axis="axisCol" showAll="0">
      <items count="4">
        <item x="0"/>
        <item x="1"/>
        <item x="2"/>
        <item t="default"/>
      </items>
    </pivotField>
    <pivotField showAll="0"/>
    <pivotField numFmtId="164" showAll="0">
      <items count="8">
        <item x="0"/>
        <item x="1"/>
        <item x="2"/>
        <item x="3"/>
        <item x="4"/>
        <item x="5"/>
        <item x="6"/>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
    <field x="5"/>
  </rowFields>
  <rowItems count="9">
    <i>
      <x/>
    </i>
    <i r="1">
      <x/>
    </i>
    <i r="1">
      <x v="1"/>
    </i>
    <i r="1">
      <x v="2"/>
    </i>
    <i>
      <x v="1"/>
    </i>
    <i r="1">
      <x/>
    </i>
    <i r="1">
      <x v="1"/>
    </i>
    <i r="1">
      <x v="2"/>
    </i>
    <i t="grand">
      <x/>
    </i>
  </rowItems>
  <colFields count="2">
    <field x="6"/>
    <field x="-2"/>
  </colFields>
  <colItems count="8">
    <i>
      <x/>
      <x/>
    </i>
    <i r="1" i="1">
      <x v="1"/>
    </i>
    <i>
      <x v="1"/>
      <x/>
    </i>
    <i r="1" i="1">
      <x v="1"/>
    </i>
    <i>
      <x v="2"/>
      <x/>
    </i>
    <i r="1" i="1">
      <x v="1"/>
    </i>
    <i t="grand">
      <x/>
    </i>
    <i t="grand" i="1">
      <x/>
    </i>
  </colItems>
  <dataFields count="2">
    <dataField name="Total Revenue" fld="9" baseField="0" baseItem="0" numFmtId="164"/>
    <dataField name="Average Revenue" fld="9" subtotal="average" baseField="3" baseItem="0" numFmtId="164"/>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1"/>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1"/>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2"/>
          </reference>
        </references>
      </pivotArea>
    </chartFormat>
    <chartFormat chart="0" format="5" series="1">
      <pivotArea type="data" outline="0" fieldPosition="0">
        <references count="2">
          <reference field="4294967294" count="1" selected="0">
            <x v="1"/>
          </reference>
          <reference field="6" count="1" selected="0">
            <x v="2"/>
          </reference>
        </references>
      </pivotArea>
    </chartFormat>
    <chartFormat chart="12" format="12" series="1">
      <pivotArea type="data" outline="0" fieldPosition="0">
        <references count="2">
          <reference field="4294967294" count="1" selected="0">
            <x v="0"/>
          </reference>
          <reference field="6" count="1" selected="0">
            <x v="0"/>
          </reference>
        </references>
      </pivotArea>
    </chartFormat>
    <chartFormat chart="12" format="13" series="1">
      <pivotArea type="data" outline="0" fieldPosition="0">
        <references count="2">
          <reference field="4294967294" count="1" selected="0">
            <x v="0"/>
          </reference>
          <reference field="6" count="1" selected="0">
            <x v="1"/>
          </reference>
        </references>
      </pivotArea>
    </chartFormat>
    <chartFormat chart="12" format="14" series="1">
      <pivotArea type="data" outline="0" fieldPosition="0">
        <references count="2">
          <reference field="4294967294" count="1" selected="0">
            <x v="0"/>
          </reference>
          <reference field="6" count="1" selected="0">
            <x v="2"/>
          </reference>
        </references>
      </pivotArea>
    </chartFormat>
    <chartFormat chart="12" format="15" series="1">
      <pivotArea type="data" outline="0" fieldPosition="0">
        <references count="2">
          <reference field="4294967294" count="1" selected="0">
            <x v="1"/>
          </reference>
          <reference field="6" count="1" selected="0">
            <x v="0"/>
          </reference>
        </references>
      </pivotArea>
    </chartFormat>
    <chartFormat chart="12" format="16" series="1">
      <pivotArea type="data" outline="0" fieldPosition="0">
        <references count="2">
          <reference field="4294967294" count="1" selected="0">
            <x v="1"/>
          </reference>
          <reference field="6" count="1" selected="0">
            <x v="1"/>
          </reference>
        </references>
      </pivotArea>
    </chartFormat>
    <chartFormat chart="12" format="17" series="1">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8D997-0EB5-49AD-AE5C-52E2CAFED1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Quantity" colHeaderCaption="Product Categories">
  <location ref="A124:E130" firstHeaderRow="1" firstDataRow="2"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axis="axisCol" showAll="0">
      <items count="4">
        <item x="0"/>
        <item x="1"/>
        <item x="2"/>
        <item t="default"/>
      </items>
    </pivotField>
    <pivotField axis="axisRow" showAll="0">
      <items count="5">
        <item n="1 Item" x="2"/>
        <item n="2 Items" x="1"/>
        <item n="3 Items" x="0"/>
        <item n="4 Items" x="3"/>
        <item t="default"/>
      </items>
    </pivotField>
    <pivotField numFmtId="164" showAll="0">
      <items count="8">
        <item x="0"/>
        <item x="1"/>
        <item x="2"/>
        <item x="3"/>
        <item x="4"/>
        <item x="5"/>
        <item x="6"/>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7"/>
  </rowFields>
  <rowItems count="5">
    <i>
      <x/>
    </i>
    <i>
      <x v="1"/>
    </i>
    <i>
      <x v="2"/>
    </i>
    <i>
      <x v="3"/>
    </i>
    <i t="grand">
      <x/>
    </i>
  </rowItems>
  <colFields count="1">
    <field x="6"/>
  </colFields>
  <colItems count="4">
    <i>
      <x/>
    </i>
    <i>
      <x v="1"/>
    </i>
    <i>
      <x v="2"/>
    </i>
    <i t="grand">
      <x/>
    </i>
  </colItems>
  <dataFields count="1">
    <dataField name="Total Revenue" fld="9" baseField="0" baseItem="0" numFmtId="164"/>
  </dataFields>
  <chartFormats count="6">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2"/>
          </reference>
        </references>
      </pivotArea>
    </chartFormat>
    <chartFormat chart="31" format="6" series="1">
      <pivotArea type="data" outline="0" fieldPosition="0">
        <references count="2">
          <reference field="4294967294" count="1" selected="0">
            <x v="0"/>
          </reference>
          <reference field="6" count="1" selected="0">
            <x v="0"/>
          </reference>
        </references>
      </pivotArea>
    </chartFormat>
    <chartFormat chart="31" format="7" series="1">
      <pivotArea type="data" outline="0" fieldPosition="0">
        <references count="2">
          <reference field="4294967294" count="1" selected="0">
            <x v="0"/>
          </reference>
          <reference field="6" count="1" selected="0">
            <x v="1"/>
          </reference>
        </references>
      </pivotArea>
    </chartFormat>
    <chartFormat chart="31"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1DE0F-3FE0-41CD-8E20-B90B5FB512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Age Group" colHeaderCaption="Product Categories">
  <location ref="A106:E115" firstHeaderRow="1" firstDataRow="2"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axis="axisCol" showAll="0">
      <items count="4">
        <item x="0"/>
        <item x="1"/>
        <item x="2"/>
        <item t="default"/>
      </items>
    </pivotField>
    <pivotField dataField="1" showAll="0"/>
    <pivotField numFmtId="164" showAll="0">
      <items count="8">
        <item x="0"/>
        <item x="1"/>
        <item x="2"/>
        <item x="3"/>
        <item x="4"/>
        <item x="5"/>
        <item x="6"/>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2"/>
    <field x="11"/>
    <field x="10"/>
    <field x="1"/>
  </rowFields>
  <rowItems count="8">
    <i>
      <x v="1"/>
    </i>
    <i r="1">
      <x v="1"/>
    </i>
    <i r="1">
      <x v="2"/>
    </i>
    <i r="1">
      <x v="3"/>
    </i>
    <i r="1">
      <x v="4"/>
    </i>
    <i>
      <x v="2"/>
    </i>
    <i r="1">
      <x v="1"/>
    </i>
    <i t="grand">
      <x/>
    </i>
  </rowItems>
  <colFields count="1">
    <field x="6"/>
  </colFields>
  <colItems count="4">
    <i>
      <x/>
    </i>
    <i>
      <x v="1"/>
    </i>
    <i>
      <x v="2"/>
    </i>
    <i t="grand">
      <x/>
    </i>
  </colItems>
  <dataFields count="1">
    <dataField name="Sum of Quantity" fld="7" baseField="12" baseItem="1"/>
  </dataFields>
  <chartFormats count="7">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3" format="2" series="1">
      <pivotArea type="data" outline="0" fieldPosition="0">
        <references count="2">
          <reference field="4294967294" count="1" selected="0">
            <x v="0"/>
          </reference>
          <reference field="6" count="1" selected="0">
            <x v="2"/>
          </reference>
        </references>
      </pivotArea>
    </chartFormat>
    <chartFormat chart="29" format="6" series="1">
      <pivotArea type="data" outline="0" fieldPosition="0">
        <references count="2">
          <reference field="4294967294" count="1" selected="0">
            <x v="0"/>
          </reference>
          <reference field="6" count="1" selected="0">
            <x v="0"/>
          </reference>
        </references>
      </pivotArea>
    </chartFormat>
    <chartFormat chart="29" format="7" series="1">
      <pivotArea type="data" outline="0" fieldPosition="0">
        <references count="2">
          <reference field="4294967294" count="1" selected="0">
            <x v="0"/>
          </reference>
          <reference field="6" count="1" selected="0">
            <x v="1"/>
          </reference>
        </references>
      </pivotArea>
    </chartFormat>
    <chartFormat chart="29" format="8" series="1">
      <pivotArea type="data" outline="0" fieldPosition="0">
        <references count="2">
          <reference field="4294967294" count="1" selected="0">
            <x v="0"/>
          </reference>
          <reference field="6" count="1" selected="0">
            <x v="2"/>
          </reference>
        </references>
      </pivotArea>
    </chartFormat>
    <chartFormat chart="23" format="3">
      <pivotArea type="data" outline="0" fieldPosition="0">
        <references count="4">
          <reference field="4294967294" count="1" selected="0">
            <x v="0"/>
          </reference>
          <reference field="6" count="1" selected="0">
            <x v="2"/>
          </reference>
          <reference field="11"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963278E-3696-4F97-9E2B-0336B030F02C}" sourceName="Age Group">
  <pivotTables>
    <pivotTable tabId="3" name="PivotTable3"/>
    <pivotTable tabId="3" name="PivotTable1"/>
    <pivotTable tabId="3" name="PivotTable2"/>
    <pivotTable tabId="3" name="PivotTable4"/>
    <pivotTable tabId="3" name="PivotTable5"/>
    <pivotTable tabId="3" name="PivotTable6"/>
  </pivotTables>
  <data>
    <tabular pivotCacheId="15699584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D38C596-D1DD-4D71-9EE0-D76BCBF4ABB2}" sourceName="Months (Date)">
  <pivotTables>
    <pivotTable tabId="3" name="PivotTable3"/>
    <pivotTable tabId="3" name="PivotTable1"/>
    <pivotTable tabId="3" name="PivotTable2"/>
    <pivotTable tabId="3" name="PivotTable4"/>
    <pivotTable tabId="3" name="PivotTable5"/>
    <pivotTable tabId="3" name="PivotTable6"/>
  </pivotTables>
  <data>
    <tabular pivotCacheId="156995841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6CE78A34-C3CC-4B69-8722-87E311F8D286}" sourceName="Quarters (Date)">
  <pivotTables>
    <pivotTable tabId="3" name="PivotTable3"/>
    <pivotTable tabId="3" name="PivotTable1"/>
    <pivotTable tabId="3" name="PivotTable2"/>
    <pivotTable tabId="3" name="PivotTable4"/>
    <pivotTable tabId="3" name="PivotTable5"/>
    <pivotTable tabId="3" name="PivotTable6"/>
  </pivotTables>
  <data>
    <tabular pivotCacheId="1569958411">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B14007D-A261-49C4-A51F-579BF99D4B97}" sourceName="Years (Date)">
  <pivotTables>
    <pivotTable tabId="3" name="PivotTable3"/>
    <pivotTable tabId="3" name="PivotTable1"/>
    <pivotTable tabId="3" name="PivotTable2"/>
    <pivotTable tabId="3" name="PivotTable4"/>
    <pivotTable tabId="3" name="PivotTable5"/>
    <pivotTable tabId="3" name="PivotTable6"/>
  </pivotTables>
  <data>
    <tabular pivotCacheId="1569958411">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DDAB2D01-07F6-45EE-AE7C-A23E8F9D4677}" cache="Slicer_Age_Group" caption="Age Group" style="SlicerStyleOther1" rowHeight="251883"/>
  <slicer name="Months (Date)" xr10:uid="{040F0753-603D-4BDF-A766-B679B9D16361}" cache="Slicer_Months__Date" caption="Months (Date)" startItem="2" style="SlicerStyleOther1" rowHeight="251883"/>
  <slicer name="Quarters (Date)" xr10:uid="{1305B41E-AB20-4110-BD68-0901686379B1}" cache="Slicer_Quarters__Date" caption="Quarters (Date)" style="SlicerStyleOther1" rowHeight="251883"/>
  <slicer name="Years (Date)" xr10:uid="{05D2100A-4E3B-43A3-8646-161EA8A6C2F9}" cache="Slicer_Years__Date" caption="Years (Date)"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73947-84E9-4679-8740-C736FFC5C5E7}" name="Retail" displayName="Retail" ref="A1:J1001" totalsRowShown="0">
  <autoFilter ref="A1:J1001" xr:uid="{73673947-84E9-4679-8740-C736FFC5C5E7}"/>
  <tableColumns count="10">
    <tableColumn id="1" xr3:uid="{0ABC181E-E8D4-407A-AB38-BD2A76423863}" name="Transaction ID"/>
    <tableColumn id="2" xr3:uid="{53DA7CAF-C80C-45C7-ABDA-3CC81F5DE422}" name="Date" dataDxfId="3"/>
    <tableColumn id="3" xr3:uid="{E930234D-4712-4974-A041-EB0DB55E7F8F}" name="Customer ID"/>
    <tableColumn id="4" xr3:uid="{9DB93FA6-A395-4EE9-9C25-EDE02D36FE2D}" name="Gender"/>
    <tableColumn id="5" xr3:uid="{2C3E34F7-B51C-4B5D-B825-2F3C83F6B51A}" name="Age"/>
    <tableColumn id="10" xr3:uid="{1DDDC438-CB73-4D00-9270-027B6B007A1E}" name="Age Group" dataDxfId="2">
      <calculatedColumnFormula array="1">_xlfn.IFS(E2&lt;=35, "18-35", E2&lt;=50, "36-50", E2&lt;=65, "51-65", TRUE, "Over 65")</calculatedColumnFormula>
    </tableColumn>
    <tableColumn id="6" xr3:uid="{75B6E44D-27FC-406C-90C7-3A62C09A61E1}" name="Product Category"/>
    <tableColumn id="7" xr3:uid="{DDDF4DE1-1895-4BBF-A1ED-AE3ED52E4726}" name="Quantity"/>
    <tableColumn id="8" xr3:uid="{B96AB8BF-C210-4C0A-85DA-944D1E8CFA9A}" name="Price per Unit" dataDxfId="1"/>
    <tableColumn id="9" xr3:uid="{4F86EF89-3B17-43AE-835E-A48CCC95379D}" name="Total 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45C5-2D0E-4E7E-B62E-A3BDBDE5C474}">
  <dimension ref="A1:I1001"/>
  <sheetViews>
    <sheetView topLeftCell="A981" workbookViewId="0">
      <selection sqref="A1:I1001"/>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04AA-28A4-493E-9158-72C2897B0FF8}">
  <dimension ref="A1:J1001"/>
  <sheetViews>
    <sheetView workbookViewId="0">
      <selection activeCell="F3" sqref="F3"/>
    </sheetView>
  </sheetViews>
  <sheetFormatPr defaultRowHeight="14.5" x14ac:dyDescent="0.35"/>
  <cols>
    <col min="1" max="1" width="14.81640625" customWidth="1"/>
    <col min="2" max="2" width="10.08984375" style="1" bestFit="1" customWidth="1"/>
    <col min="3" max="3" width="13.1796875" customWidth="1"/>
    <col min="4" max="4" width="8.90625" customWidth="1"/>
    <col min="5" max="5" width="5.81640625" customWidth="1"/>
    <col min="6" max="6" width="11.54296875" customWidth="1"/>
    <col min="7" max="7" width="17.08984375" customWidth="1"/>
    <col min="8" max="8" width="10" customWidth="1"/>
    <col min="9" max="9" width="14.08984375" style="2" customWidth="1"/>
    <col min="10" max="10" width="13.81640625" style="2" customWidth="1"/>
  </cols>
  <sheetData>
    <row r="1" spans="1:10" x14ac:dyDescent="0.35">
      <c r="A1" t="s">
        <v>0</v>
      </c>
      <c r="B1" s="1" t="s">
        <v>1</v>
      </c>
      <c r="C1" t="s">
        <v>2</v>
      </c>
      <c r="D1" t="s">
        <v>3</v>
      </c>
      <c r="E1" t="s">
        <v>4</v>
      </c>
      <c r="F1" t="s">
        <v>1014</v>
      </c>
      <c r="G1" t="s">
        <v>5</v>
      </c>
      <c r="H1" t="s">
        <v>6</v>
      </c>
      <c r="I1" s="2" t="s">
        <v>7</v>
      </c>
      <c r="J1" s="2" t="s">
        <v>8</v>
      </c>
    </row>
    <row r="2" spans="1:10" x14ac:dyDescent="0.35">
      <c r="A2">
        <v>1</v>
      </c>
      <c r="B2" s="1">
        <v>45254</v>
      </c>
      <c r="C2" t="s">
        <v>9</v>
      </c>
      <c r="D2" t="s">
        <v>10</v>
      </c>
      <c r="E2">
        <v>34</v>
      </c>
      <c r="F2" t="str" cm="1">
        <f t="array" ref="F2">_xlfn.IFS(E2&lt;=35, "18-35", E2&lt;=50, "36-50", E2&lt;=65, "51-65", TRUE, "Over 65")</f>
        <v>18-35</v>
      </c>
      <c r="G2" t="s">
        <v>11</v>
      </c>
      <c r="H2">
        <v>3</v>
      </c>
      <c r="I2" s="2">
        <v>50</v>
      </c>
      <c r="J2" s="2">
        <v>150</v>
      </c>
    </row>
    <row r="3" spans="1:10" x14ac:dyDescent="0.35">
      <c r="A3">
        <v>2</v>
      </c>
      <c r="B3" s="1">
        <v>44984</v>
      </c>
      <c r="C3" t="s">
        <v>12</v>
      </c>
      <c r="D3" t="s">
        <v>13</v>
      </c>
      <c r="E3">
        <v>26</v>
      </c>
      <c r="F3" t="str" cm="1">
        <f t="array" ref="F3">_xlfn.IFS(E3&lt;=35, "18-35", E3&lt;=50, "36-50", E3&lt;=65, "51-65", TRUE, "Over 65")</f>
        <v>18-35</v>
      </c>
      <c r="G3" t="s">
        <v>14</v>
      </c>
      <c r="H3">
        <v>2</v>
      </c>
      <c r="I3" s="2">
        <v>500</v>
      </c>
      <c r="J3" s="2">
        <v>1000</v>
      </c>
    </row>
    <row r="4" spans="1:10" x14ac:dyDescent="0.35">
      <c r="A4">
        <v>3</v>
      </c>
      <c r="B4" s="1">
        <v>44939</v>
      </c>
      <c r="C4" t="s">
        <v>15</v>
      </c>
      <c r="D4" t="s">
        <v>10</v>
      </c>
      <c r="E4">
        <v>50</v>
      </c>
      <c r="F4" t="str" cm="1">
        <f t="array" ref="F4">_xlfn.IFS(E4&lt;=35, "18-35", E4&lt;=50, "36-50", E4&lt;=65, "51-65", TRUE, "Over 65")</f>
        <v>36-50</v>
      </c>
      <c r="G4" t="s">
        <v>16</v>
      </c>
      <c r="H4">
        <v>1</v>
      </c>
      <c r="I4" s="2">
        <v>30</v>
      </c>
      <c r="J4" s="2">
        <v>30</v>
      </c>
    </row>
    <row r="5" spans="1:10" x14ac:dyDescent="0.35">
      <c r="A5">
        <v>4</v>
      </c>
      <c r="B5" s="1">
        <v>45067</v>
      </c>
      <c r="C5" t="s">
        <v>17</v>
      </c>
      <c r="D5" t="s">
        <v>10</v>
      </c>
      <c r="E5">
        <v>37</v>
      </c>
      <c r="F5" t="str" cm="1">
        <f t="array" ref="F5">_xlfn.IFS(E5&lt;=35, "18-35", E5&lt;=50, "36-50", E5&lt;=65, "51-65", TRUE, "Over 65")</f>
        <v>36-50</v>
      </c>
      <c r="G5" t="s">
        <v>14</v>
      </c>
      <c r="H5">
        <v>1</v>
      </c>
      <c r="I5" s="2">
        <v>500</v>
      </c>
      <c r="J5" s="2">
        <v>500</v>
      </c>
    </row>
    <row r="6" spans="1:10" x14ac:dyDescent="0.35">
      <c r="A6">
        <v>5</v>
      </c>
      <c r="B6" s="1">
        <v>45052</v>
      </c>
      <c r="C6" t="s">
        <v>18</v>
      </c>
      <c r="D6" t="s">
        <v>10</v>
      </c>
      <c r="E6">
        <v>30</v>
      </c>
      <c r="F6" t="str" cm="1">
        <f t="array" ref="F6">_xlfn.IFS(E6&lt;=35, "18-35", E6&lt;=50, "36-50", E6&lt;=65, "51-65", TRUE, "Over 65")</f>
        <v>18-35</v>
      </c>
      <c r="G6" t="s">
        <v>11</v>
      </c>
      <c r="H6">
        <v>2</v>
      </c>
      <c r="I6" s="2">
        <v>50</v>
      </c>
      <c r="J6" s="2">
        <v>100</v>
      </c>
    </row>
    <row r="7" spans="1:10" x14ac:dyDescent="0.35">
      <c r="A7">
        <v>6</v>
      </c>
      <c r="B7" s="1">
        <v>45041</v>
      </c>
      <c r="C7" t="s">
        <v>19</v>
      </c>
      <c r="D7" t="s">
        <v>13</v>
      </c>
      <c r="E7">
        <v>45</v>
      </c>
      <c r="F7" t="str" cm="1">
        <f t="array" ref="F7">_xlfn.IFS(E7&lt;=35, "18-35", E7&lt;=50, "36-50", E7&lt;=65, "51-65", TRUE, "Over 65")</f>
        <v>36-50</v>
      </c>
      <c r="G7" t="s">
        <v>11</v>
      </c>
      <c r="H7">
        <v>1</v>
      </c>
      <c r="I7" s="2">
        <v>30</v>
      </c>
      <c r="J7" s="2">
        <v>30</v>
      </c>
    </row>
    <row r="8" spans="1:10" x14ac:dyDescent="0.35">
      <c r="A8">
        <v>7</v>
      </c>
      <c r="B8" s="1">
        <v>44998</v>
      </c>
      <c r="C8" t="s">
        <v>20</v>
      </c>
      <c r="D8" t="s">
        <v>10</v>
      </c>
      <c r="E8">
        <v>46</v>
      </c>
      <c r="F8" t="str" cm="1">
        <f t="array" ref="F8">_xlfn.IFS(E8&lt;=35, "18-35", E8&lt;=50, "36-50", E8&lt;=65, "51-65", TRUE, "Over 65")</f>
        <v>36-50</v>
      </c>
      <c r="G8" t="s">
        <v>14</v>
      </c>
      <c r="H8">
        <v>2</v>
      </c>
      <c r="I8" s="2">
        <v>25</v>
      </c>
      <c r="J8" s="2">
        <v>50</v>
      </c>
    </row>
    <row r="9" spans="1:10" x14ac:dyDescent="0.35">
      <c r="A9">
        <v>8</v>
      </c>
      <c r="B9" s="1">
        <v>44979</v>
      </c>
      <c r="C9" t="s">
        <v>21</v>
      </c>
      <c r="D9" t="s">
        <v>10</v>
      </c>
      <c r="E9">
        <v>30</v>
      </c>
      <c r="F9" t="str" cm="1">
        <f t="array" ref="F9">_xlfn.IFS(E9&lt;=35, "18-35", E9&lt;=50, "36-50", E9&lt;=65, "51-65", TRUE, "Over 65")</f>
        <v>18-35</v>
      </c>
      <c r="G9" t="s">
        <v>16</v>
      </c>
      <c r="H9">
        <v>4</v>
      </c>
      <c r="I9" s="2">
        <v>25</v>
      </c>
      <c r="J9" s="2">
        <v>100</v>
      </c>
    </row>
    <row r="10" spans="1:10" x14ac:dyDescent="0.35">
      <c r="A10">
        <v>9</v>
      </c>
      <c r="B10" s="1">
        <v>45273</v>
      </c>
      <c r="C10" t="s">
        <v>22</v>
      </c>
      <c r="D10" t="s">
        <v>10</v>
      </c>
      <c r="E10">
        <v>63</v>
      </c>
      <c r="F10" t="str" cm="1">
        <f t="array" ref="F10">_xlfn.IFS(E10&lt;=35, "18-35", E10&lt;=50, "36-50", E10&lt;=65, "51-65", TRUE, "Over 65")</f>
        <v>51-65</v>
      </c>
      <c r="G10" t="s">
        <v>16</v>
      </c>
      <c r="H10">
        <v>2</v>
      </c>
      <c r="I10" s="2">
        <v>300</v>
      </c>
      <c r="J10" s="2">
        <v>600</v>
      </c>
    </row>
    <row r="11" spans="1:10" x14ac:dyDescent="0.35">
      <c r="A11">
        <v>10</v>
      </c>
      <c r="B11" s="1">
        <v>45206</v>
      </c>
      <c r="C11" t="s">
        <v>23</v>
      </c>
      <c r="D11" t="s">
        <v>13</v>
      </c>
      <c r="E11">
        <v>52</v>
      </c>
      <c r="F11" t="str" cm="1">
        <f t="array" ref="F11">_xlfn.IFS(E11&lt;=35, "18-35", E11&lt;=50, "36-50", E11&lt;=65, "51-65", TRUE, "Over 65")</f>
        <v>51-65</v>
      </c>
      <c r="G11" t="s">
        <v>14</v>
      </c>
      <c r="H11">
        <v>4</v>
      </c>
      <c r="I11" s="2">
        <v>50</v>
      </c>
      <c r="J11" s="2">
        <v>200</v>
      </c>
    </row>
    <row r="12" spans="1:10" x14ac:dyDescent="0.35">
      <c r="A12">
        <v>11</v>
      </c>
      <c r="B12" s="1">
        <v>44971</v>
      </c>
      <c r="C12" t="s">
        <v>24</v>
      </c>
      <c r="D12" t="s">
        <v>10</v>
      </c>
      <c r="E12">
        <v>23</v>
      </c>
      <c r="F12" t="str" cm="1">
        <f t="array" ref="F12">_xlfn.IFS(E12&lt;=35, "18-35", E12&lt;=50, "36-50", E12&lt;=65, "51-65", TRUE, "Over 65")</f>
        <v>18-35</v>
      </c>
      <c r="G12" t="s">
        <v>14</v>
      </c>
      <c r="H12">
        <v>2</v>
      </c>
      <c r="I12" s="2">
        <v>50</v>
      </c>
      <c r="J12" s="2">
        <v>100</v>
      </c>
    </row>
    <row r="13" spans="1:10" x14ac:dyDescent="0.35">
      <c r="A13">
        <v>12</v>
      </c>
      <c r="B13" s="1">
        <v>45229</v>
      </c>
      <c r="C13" t="s">
        <v>25</v>
      </c>
      <c r="D13" t="s">
        <v>10</v>
      </c>
      <c r="E13">
        <v>35</v>
      </c>
      <c r="F13" t="str" cm="1">
        <f t="array" ref="F13">_xlfn.IFS(E13&lt;=35, "18-35", E13&lt;=50, "36-50", E13&lt;=65, "51-65", TRUE, "Over 65")</f>
        <v>18-35</v>
      </c>
      <c r="G13" t="s">
        <v>11</v>
      </c>
      <c r="H13">
        <v>3</v>
      </c>
      <c r="I13" s="2">
        <v>25</v>
      </c>
      <c r="J13" s="2">
        <v>75</v>
      </c>
    </row>
    <row r="14" spans="1:10" x14ac:dyDescent="0.35">
      <c r="A14">
        <v>13</v>
      </c>
      <c r="B14" s="1">
        <v>45143</v>
      </c>
      <c r="C14" t="s">
        <v>26</v>
      </c>
      <c r="D14" t="s">
        <v>10</v>
      </c>
      <c r="E14">
        <v>22</v>
      </c>
      <c r="F14" t="str" cm="1">
        <f t="array" ref="F14">_xlfn.IFS(E14&lt;=35, "18-35", E14&lt;=50, "36-50", E14&lt;=65, "51-65", TRUE, "Over 65")</f>
        <v>18-35</v>
      </c>
      <c r="G14" t="s">
        <v>16</v>
      </c>
      <c r="H14">
        <v>3</v>
      </c>
      <c r="I14" s="2">
        <v>500</v>
      </c>
      <c r="J14" s="2">
        <v>1500</v>
      </c>
    </row>
    <row r="15" spans="1:10" x14ac:dyDescent="0.35">
      <c r="A15">
        <v>14</v>
      </c>
      <c r="B15" s="1">
        <v>44943</v>
      </c>
      <c r="C15" t="s">
        <v>27</v>
      </c>
      <c r="D15" t="s">
        <v>10</v>
      </c>
      <c r="E15">
        <v>64</v>
      </c>
      <c r="F15" t="str" cm="1">
        <f t="array" ref="F15">_xlfn.IFS(E15&lt;=35, "18-35", E15&lt;=50, "36-50", E15&lt;=65, "51-65", TRUE, "Over 65")</f>
        <v>51-65</v>
      </c>
      <c r="G15" t="s">
        <v>14</v>
      </c>
      <c r="H15">
        <v>4</v>
      </c>
      <c r="I15" s="2">
        <v>30</v>
      </c>
      <c r="J15" s="2">
        <v>120</v>
      </c>
    </row>
    <row r="16" spans="1:10" x14ac:dyDescent="0.35">
      <c r="A16">
        <v>15</v>
      </c>
      <c r="B16" s="1">
        <v>44942</v>
      </c>
      <c r="C16" t="s">
        <v>28</v>
      </c>
      <c r="D16" t="s">
        <v>13</v>
      </c>
      <c r="E16">
        <v>42</v>
      </c>
      <c r="F16" t="str" cm="1">
        <f t="array" ref="F16">_xlfn.IFS(E16&lt;=35, "18-35", E16&lt;=50, "36-50", E16&lt;=65, "51-65", TRUE, "Over 65")</f>
        <v>36-50</v>
      </c>
      <c r="G16" t="s">
        <v>16</v>
      </c>
      <c r="H16">
        <v>4</v>
      </c>
      <c r="I16" s="2">
        <v>500</v>
      </c>
      <c r="J16" s="2">
        <v>2000</v>
      </c>
    </row>
    <row r="17" spans="1:10" x14ac:dyDescent="0.35">
      <c r="A17">
        <v>16</v>
      </c>
      <c r="B17" s="1">
        <v>44974</v>
      </c>
      <c r="C17" t="s">
        <v>29</v>
      </c>
      <c r="D17" t="s">
        <v>10</v>
      </c>
      <c r="E17">
        <v>19</v>
      </c>
      <c r="F17" t="str" cm="1">
        <f t="array" ref="F17">_xlfn.IFS(E17&lt;=35, "18-35", E17&lt;=50, "36-50", E17&lt;=65, "51-65", TRUE, "Over 65")</f>
        <v>18-35</v>
      </c>
      <c r="G17" t="s">
        <v>14</v>
      </c>
      <c r="H17">
        <v>3</v>
      </c>
      <c r="I17" s="2">
        <v>500</v>
      </c>
      <c r="J17" s="2">
        <v>1500</v>
      </c>
    </row>
    <row r="18" spans="1:10" x14ac:dyDescent="0.35">
      <c r="A18">
        <v>17</v>
      </c>
      <c r="B18" s="1">
        <v>45038</v>
      </c>
      <c r="C18" t="s">
        <v>30</v>
      </c>
      <c r="D18" t="s">
        <v>13</v>
      </c>
      <c r="E18">
        <v>27</v>
      </c>
      <c r="F18" t="str" cm="1">
        <f t="array" ref="F18">_xlfn.IFS(E18&lt;=35, "18-35", E18&lt;=50, "36-50", E18&lt;=65, "51-65", TRUE, "Over 65")</f>
        <v>18-35</v>
      </c>
      <c r="G18" t="s">
        <v>14</v>
      </c>
      <c r="H18">
        <v>4</v>
      </c>
      <c r="I18" s="2">
        <v>25</v>
      </c>
      <c r="J18" s="2">
        <v>100</v>
      </c>
    </row>
    <row r="19" spans="1:10" x14ac:dyDescent="0.35">
      <c r="A19">
        <v>18</v>
      </c>
      <c r="B19" s="1">
        <v>45046</v>
      </c>
      <c r="C19" t="s">
        <v>31</v>
      </c>
      <c r="D19" t="s">
        <v>13</v>
      </c>
      <c r="E19">
        <v>47</v>
      </c>
      <c r="F19" t="str" cm="1">
        <f t="array" ref="F19">_xlfn.IFS(E19&lt;=35, "18-35", E19&lt;=50, "36-50", E19&lt;=65, "51-65", TRUE, "Over 65")</f>
        <v>36-50</v>
      </c>
      <c r="G19" t="s">
        <v>16</v>
      </c>
      <c r="H19">
        <v>2</v>
      </c>
      <c r="I19" s="2">
        <v>25</v>
      </c>
      <c r="J19" s="2">
        <v>50</v>
      </c>
    </row>
    <row r="20" spans="1:10" x14ac:dyDescent="0.35">
      <c r="A20">
        <v>19</v>
      </c>
      <c r="B20" s="1">
        <v>45185</v>
      </c>
      <c r="C20" t="s">
        <v>32</v>
      </c>
      <c r="D20" t="s">
        <v>13</v>
      </c>
      <c r="E20">
        <v>62</v>
      </c>
      <c r="F20" t="str" cm="1">
        <f t="array" ref="F20">_xlfn.IFS(E20&lt;=35, "18-35", E20&lt;=50, "36-50", E20&lt;=65, "51-65", TRUE, "Over 65")</f>
        <v>51-65</v>
      </c>
      <c r="G20" t="s">
        <v>14</v>
      </c>
      <c r="H20">
        <v>2</v>
      </c>
      <c r="I20" s="2">
        <v>25</v>
      </c>
      <c r="J20" s="2">
        <v>50</v>
      </c>
    </row>
    <row r="21" spans="1:10" x14ac:dyDescent="0.35">
      <c r="A21">
        <v>20</v>
      </c>
      <c r="B21" s="1">
        <v>45235</v>
      </c>
      <c r="C21" t="s">
        <v>33</v>
      </c>
      <c r="D21" t="s">
        <v>10</v>
      </c>
      <c r="E21">
        <v>22</v>
      </c>
      <c r="F21" t="str" cm="1">
        <f t="array" ref="F21">_xlfn.IFS(E21&lt;=35, "18-35", E21&lt;=50, "36-50", E21&lt;=65, "51-65", TRUE, "Over 65")</f>
        <v>18-35</v>
      </c>
      <c r="G21" t="s">
        <v>14</v>
      </c>
      <c r="H21">
        <v>3</v>
      </c>
      <c r="I21" s="2">
        <v>300</v>
      </c>
      <c r="J21" s="2">
        <v>900</v>
      </c>
    </row>
    <row r="22" spans="1:10" x14ac:dyDescent="0.35">
      <c r="A22">
        <v>21</v>
      </c>
      <c r="B22" s="1">
        <v>44940</v>
      </c>
      <c r="C22" t="s">
        <v>34</v>
      </c>
      <c r="D22" t="s">
        <v>13</v>
      </c>
      <c r="E22">
        <v>50</v>
      </c>
      <c r="F22" t="str" cm="1">
        <f t="array" ref="F22">_xlfn.IFS(E22&lt;=35, "18-35", E22&lt;=50, "36-50", E22&lt;=65, "51-65", TRUE, "Over 65")</f>
        <v>36-50</v>
      </c>
      <c r="G22" t="s">
        <v>11</v>
      </c>
      <c r="H22">
        <v>1</v>
      </c>
      <c r="I22" s="2">
        <v>500</v>
      </c>
      <c r="J22" s="2">
        <v>500</v>
      </c>
    </row>
    <row r="23" spans="1:10" x14ac:dyDescent="0.35">
      <c r="A23">
        <v>22</v>
      </c>
      <c r="B23" s="1">
        <v>45214</v>
      </c>
      <c r="C23" t="s">
        <v>35</v>
      </c>
      <c r="D23" t="s">
        <v>10</v>
      </c>
      <c r="E23">
        <v>18</v>
      </c>
      <c r="F23" t="str" cm="1">
        <f t="array" ref="F23">_xlfn.IFS(E23&lt;=35, "18-35", E23&lt;=50, "36-50", E23&lt;=65, "51-65", TRUE, "Over 65")</f>
        <v>18-35</v>
      </c>
      <c r="G23" t="s">
        <v>14</v>
      </c>
      <c r="H23">
        <v>2</v>
      </c>
      <c r="I23" s="2">
        <v>50</v>
      </c>
      <c r="J23" s="2">
        <v>100</v>
      </c>
    </row>
    <row r="24" spans="1:10" x14ac:dyDescent="0.35">
      <c r="A24">
        <v>23</v>
      </c>
      <c r="B24" s="1">
        <v>45028</v>
      </c>
      <c r="C24" t="s">
        <v>36</v>
      </c>
      <c r="D24" t="s">
        <v>13</v>
      </c>
      <c r="E24">
        <v>35</v>
      </c>
      <c r="F24" t="str" cm="1">
        <f t="array" ref="F24">_xlfn.IFS(E24&lt;=35, "18-35", E24&lt;=50, "36-50", E24&lt;=65, "51-65", TRUE, "Over 65")</f>
        <v>18-35</v>
      </c>
      <c r="G24" t="s">
        <v>14</v>
      </c>
      <c r="H24">
        <v>4</v>
      </c>
      <c r="I24" s="2">
        <v>30</v>
      </c>
      <c r="J24" s="2">
        <v>120</v>
      </c>
    </row>
    <row r="25" spans="1:10" x14ac:dyDescent="0.35">
      <c r="A25">
        <v>24</v>
      </c>
      <c r="B25" s="1">
        <v>45259</v>
      </c>
      <c r="C25" t="s">
        <v>37</v>
      </c>
      <c r="D25" t="s">
        <v>13</v>
      </c>
      <c r="E25">
        <v>49</v>
      </c>
      <c r="F25" t="str" cm="1">
        <f t="array" ref="F25">_xlfn.IFS(E25&lt;=35, "18-35", E25&lt;=50, "36-50", E25&lt;=65, "51-65", TRUE, "Over 65")</f>
        <v>36-50</v>
      </c>
      <c r="G25" t="s">
        <v>14</v>
      </c>
      <c r="H25">
        <v>1</v>
      </c>
      <c r="I25" s="2">
        <v>300</v>
      </c>
      <c r="J25" s="2">
        <v>300</v>
      </c>
    </row>
    <row r="26" spans="1:10" x14ac:dyDescent="0.35">
      <c r="A26">
        <v>25</v>
      </c>
      <c r="B26" s="1">
        <v>45286</v>
      </c>
      <c r="C26" t="s">
        <v>38</v>
      </c>
      <c r="D26" t="s">
        <v>13</v>
      </c>
      <c r="E26">
        <v>64</v>
      </c>
      <c r="F26" t="str" cm="1">
        <f t="array" ref="F26">_xlfn.IFS(E26&lt;=35, "18-35", E26&lt;=50, "36-50", E26&lt;=65, "51-65", TRUE, "Over 65")</f>
        <v>51-65</v>
      </c>
      <c r="G26" t="s">
        <v>11</v>
      </c>
      <c r="H26">
        <v>1</v>
      </c>
      <c r="I26" s="2">
        <v>50</v>
      </c>
      <c r="J26" s="2">
        <v>50</v>
      </c>
    </row>
    <row r="27" spans="1:10" x14ac:dyDescent="0.35">
      <c r="A27">
        <v>26</v>
      </c>
      <c r="B27" s="1">
        <v>45206</v>
      </c>
      <c r="C27" t="s">
        <v>39</v>
      </c>
      <c r="D27" t="s">
        <v>13</v>
      </c>
      <c r="E27">
        <v>28</v>
      </c>
      <c r="F27" t="str" cm="1">
        <f t="array" ref="F27">_xlfn.IFS(E27&lt;=35, "18-35", E27&lt;=50, "36-50", E27&lt;=65, "51-65", TRUE, "Over 65")</f>
        <v>18-35</v>
      </c>
      <c r="G27" t="s">
        <v>16</v>
      </c>
      <c r="H27">
        <v>2</v>
      </c>
      <c r="I27" s="2">
        <v>500</v>
      </c>
      <c r="J27" s="2">
        <v>1000</v>
      </c>
    </row>
    <row r="28" spans="1:10" x14ac:dyDescent="0.35">
      <c r="A28">
        <v>27</v>
      </c>
      <c r="B28" s="1">
        <v>45141</v>
      </c>
      <c r="C28" t="s">
        <v>40</v>
      </c>
      <c r="D28" t="s">
        <v>13</v>
      </c>
      <c r="E28">
        <v>38</v>
      </c>
      <c r="F28" t="str" cm="1">
        <f t="array" ref="F28">_xlfn.IFS(E28&lt;=35, "18-35", E28&lt;=50, "36-50", E28&lt;=65, "51-65", TRUE, "Over 65")</f>
        <v>36-50</v>
      </c>
      <c r="G28" t="s">
        <v>11</v>
      </c>
      <c r="H28">
        <v>2</v>
      </c>
      <c r="I28" s="2">
        <v>25</v>
      </c>
      <c r="J28" s="2">
        <v>50</v>
      </c>
    </row>
    <row r="29" spans="1:10" x14ac:dyDescent="0.35">
      <c r="A29">
        <v>28</v>
      </c>
      <c r="B29" s="1">
        <v>45039</v>
      </c>
      <c r="C29" t="s">
        <v>41</v>
      </c>
      <c r="D29" t="s">
        <v>13</v>
      </c>
      <c r="E29">
        <v>43</v>
      </c>
      <c r="F29" t="str" cm="1">
        <f t="array" ref="F29">_xlfn.IFS(E29&lt;=35, "18-35", E29&lt;=50, "36-50", E29&lt;=65, "51-65", TRUE, "Over 65")</f>
        <v>36-50</v>
      </c>
      <c r="G29" t="s">
        <v>11</v>
      </c>
      <c r="H29">
        <v>1</v>
      </c>
      <c r="I29" s="2">
        <v>500</v>
      </c>
      <c r="J29" s="2">
        <v>500</v>
      </c>
    </row>
    <row r="30" spans="1:10" x14ac:dyDescent="0.35">
      <c r="A30">
        <v>29</v>
      </c>
      <c r="B30" s="1">
        <v>45156</v>
      </c>
      <c r="C30" t="s">
        <v>42</v>
      </c>
      <c r="D30" t="s">
        <v>13</v>
      </c>
      <c r="E30">
        <v>42</v>
      </c>
      <c r="F30" t="str" cm="1">
        <f t="array" ref="F30">_xlfn.IFS(E30&lt;=35, "18-35", E30&lt;=50, "36-50", E30&lt;=65, "51-65", TRUE, "Over 65")</f>
        <v>36-50</v>
      </c>
      <c r="G30" t="s">
        <v>16</v>
      </c>
      <c r="H30">
        <v>1</v>
      </c>
      <c r="I30" s="2">
        <v>30</v>
      </c>
      <c r="J30" s="2">
        <v>30</v>
      </c>
    </row>
    <row r="31" spans="1:10" x14ac:dyDescent="0.35">
      <c r="A31">
        <v>30</v>
      </c>
      <c r="B31" s="1">
        <v>45228</v>
      </c>
      <c r="C31" t="s">
        <v>43</v>
      </c>
      <c r="D31" t="s">
        <v>13</v>
      </c>
      <c r="E31">
        <v>39</v>
      </c>
      <c r="F31" t="str" cm="1">
        <f t="array" ref="F31">_xlfn.IFS(E31&lt;=35, "18-35", E31&lt;=50, "36-50", E31&lt;=65, "51-65", TRUE, "Over 65")</f>
        <v>36-50</v>
      </c>
      <c r="G31" t="s">
        <v>11</v>
      </c>
      <c r="H31">
        <v>3</v>
      </c>
      <c r="I31" s="2">
        <v>300</v>
      </c>
      <c r="J31" s="2">
        <v>900</v>
      </c>
    </row>
    <row r="32" spans="1:10" x14ac:dyDescent="0.35">
      <c r="A32">
        <v>31</v>
      </c>
      <c r="B32" s="1">
        <v>45069</v>
      </c>
      <c r="C32" t="s">
        <v>44</v>
      </c>
      <c r="D32" t="s">
        <v>10</v>
      </c>
      <c r="E32">
        <v>44</v>
      </c>
      <c r="F32" t="str" cm="1">
        <f t="array" ref="F32">_xlfn.IFS(E32&lt;=35, "18-35", E32&lt;=50, "36-50", E32&lt;=65, "51-65", TRUE, "Over 65")</f>
        <v>36-50</v>
      </c>
      <c r="G32" t="s">
        <v>16</v>
      </c>
      <c r="H32">
        <v>4</v>
      </c>
      <c r="I32" s="2">
        <v>300</v>
      </c>
      <c r="J32" s="2">
        <v>1200</v>
      </c>
    </row>
    <row r="33" spans="1:10" x14ac:dyDescent="0.35">
      <c r="A33">
        <v>32</v>
      </c>
      <c r="B33" s="1">
        <v>44930</v>
      </c>
      <c r="C33" t="s">
        <v>45</v>
      </c>
      <c r="D33" t="s">
        <v>10</v>
      </c>
      <c r="E33">
        <v>30</v>
      </c>
      <c r="F33" t="str" cm="1">
        <f t="array" ref="F33">_xlfn.IFS(E33&lt;=35, "18-35", E33&lt;=50, "36-50", E33&lt;=65, "51-65", TRUE, "Over 65")</f>
        <v>18-35</v>
      </c>
      <c r="G33" t="s">
        <v>11</v>
      </c>
      <c r="H33">
        <v>3</v>
      </c>
      <c r="I33" s="2">
        <v>30</v>
      </c>
      <c r="J33" s="2">
        <v>90</v>
      </c>
    </row>
    <row r="34" spans="1:10" x14ac:dyDescent="0.35">
      <c r="A34">
        <v>33</v>
      </c>
      <c r="B34" s="1">
        <v>45008</v>
      </c>
      <c r="C34" t="s">
        <v>46</v>
      </c>
      <c r="D34" t="s">
        <v>13</v>
      </c>
      <c r="E34">
        <v>50</v>
      </c>
      <c r="F34" t="str" cm="1">
        <f t="array" ref="F34">_xlfn.IFS(E34&lt;=35, "18-35", E34&lt;=50, "36-50", E34&lt;=65, "51-65", TRUE, "Over 65")</f>
        <v>36-50</v>
      </c>
      <c r="G34" t="s">
        <v>16</v>
      </c>
      <c r="H34">
        <v>2</v>
      </c>
      <c r="I34" s="2">
        <v>50</v>
      </c>
      <c r="J34" s="2">
        <v>100</v>
      </c>
    </row>
    <row r="35" spans="1:10" x14ac:dyDescent="0.35">
      <c r="A35">
        <v>34</v>
      </c>
      <c r="B35" s="1">
        <v>45284</v>
      </c>
      <c r="C35" t="s">
        <v>47</v>
      </c>
      <c r="D35" t="s">
        <v>13</v>
      </c>
      <c r="E35">
        <v>51</v>
      </c>
      <c r="F35" t="str" cm="1">
        <f t="array" ref="F35">_xlfn.IFS(E35&lt;=35, "18-35", E35&lt;=50, "36-50", E35&lt;=65, "51-65", TRUE, "Over 65")</f>
        <v>51-65</v>
      </c>
      <c r="G35" t="s">
        <v>14</v>
      </c>
      <c r="H35">
        <v>3</v>
      </c>
      <c r="I35" s="2">
        <v>50</v>
      </c>
      <c r="J35" s="2">
        <v>150</v>
      </c>
    </row>
    <row r="36" spans="1:10" x14ac:dyDescent="0.35">
      <c r="A36">
        <v>35</v>
      </c>
      <c r="B36" s="1">
        <v>45143</v>
      </c>
      <c r="C36" t="s">
        <v>48</v>
      </c>
      <c r="D36" t="s">
        <v>13</v>
      </c>
      <c r="E36">
        <v>58</v>
      </c>
      <c r="F36" t="str" cm="1">
        <f t="array" ref="F36">_xlfn.IFS(E36&lt;=35, "18-35", E36&lt;=50, "36-50", E36&lt;=65, "51-65", TRUE, "Over 65")</f>
        <v>51-65</v>
      </c>
      <c r="G36" t="s">
        <v>11</v>
      </c>
      <c r="H36">
        <v>3</v>
      </c>
      <c r="I36" s="2">
        <v>300</v>
      </c>
      <c r="J36" s="2">
        <v>900</v>
      </c>
    </row>
    <row r="37" spans="1:10" x14ac:dyDescent="0.35">
      <c r="A37">
        <v>36</v>
      </c>
      <c r="B37" s="1">
        <v>45101</v>
      </c>
      <c r="C37" t="s">
        <v>49</v>
      </c>
      <c r="D37" t="s">
        <v>10</v>
      </c>
      <c r="E37">
        <v>52</v>
      </c>
      <c r="F37" t="str" cm="1">
        <f t="array" ref="F37">_xlfn.IFS(E37&lt;=35, "18-35", E37&lt;=50, "36-50", E37&lt;=65, "51-65", TRUE, "Over 65")</f>
        <v>51-65</v>
      </c>
      <c r="G37" t="s">
        <v>11</v>
      </c>
      <c r="H37">
        <v>3</v>
      </c>
      <c r="I37" s="2">
        <v>300</v>
      </c>
      <c r="J37" s="2">
        <v>900</v>
      </c>
    </row>
    <row r="38" spans="1:10" x14ac:dyDescent="0.35">
      <c r="A38">
        <v>37</v>
      </c>
      <c r="B38" s="1">
        <v>45069</v>
      </c>
      <c r="C38" t="s">
        <v>50</v>
      </c>
      <c r="D38" t="s">
        <v>13</v>
      </c>
      <c r="E38">
        <v>18</v>
      </c>
      <c r="F38" t="str" cm="1">
        <f t="array" ref="F38">_xlfn.IFS(E38&lt;=35, "18-35", E38&lt;=50, "36-50", E38&lt;=65, "51-65", TRUE, "Over 65")</f>
        <v>18-35</v>
      </c>
      <c r="G38" t="s">
        <v>11</v>
      </c>
      <c r="H38">
        <v>3</v>
      </c>
      <c r="I38" s="2">
        <v>25</v>
      </c>
      <c r="J38" s="2">
        <v>75</v>
      </c>
    </row>
    <row r="39" spans="1:10" x14ac:dyDescent="0.35">
      <c r="A39">
        <v>38</v>
      </c>
      <c r="B39" s="1">
        <v>45006</v>
      </c>
      <c r="C39" t="s">
        <v>51</v>
      </c>
      <c r="D39" t="s">
        <v>10</v>
      </c>
      <c r="E39">
        <v>38</v>
      </c>
      <c r="F39" t="str" cm="1">
        <f t="array" ref="F39">_xlfn.IFS(E39&lt;=35, "18-35", E39&lt;=50, "36-50", E39&lt;=65, "51-65", TRUE, "Over 65")</f>
        <v>36-50</v>
      </c>
      <c r="G39" t="s">
        <v>11</v>
      </c>
      <c r="H39">
        <v>4</v>
      </c>
      <c r="I39" s="2">
        <v>50</v>
      </c>
      <c r="J39" s="2">
        <v>200</v>
      </c>
    </row>
    <row r="40" spans="1:10" x14ac:dyDescent="0.35">
      <c r="A40">
        <v>39</v>
      </c>
      <c r="B40" s="1">
        <v>45037</v>
      </c>
      <c r="C40" t="s">
        <v>52</v>
      </c>
      <c r="D40" t="s">
        <v>10</v>
      </c>
      <c r="E40">
        <v>23</v>
      </c>
      <c r="F40" t="str" cm="1">
        <f t="array" ref="F40">_xlfn.IFS(E40&lt;=35, "18-35", E40&lt;=50, "36-50", E40&lt;=65, "51-65", TRUE, "Over 65")</f>
        <v>18-35</v>
      </c>
      <c r="G40" t="s">
        <v>14</v>
      </c>
      <c r="H40">
        <v>4</v>
      </c>
      <c r="I40" s="2">
        <v>30</v>
      </c>
      <c r="J40" s="2">
        <v>120</v>
      </c>
    </row>
    <row r="41" spans="1:10" x14ac:dyDescent="0.35">
      <c r="A41">
        <v>40</v>
      </c>
      <c r="B41" s="1">
        <v>45099</v>
      </c>
      <c r="C41" t="s">
        <v>53</v>
      </c>
      <c r="D41" t="s">
        <v>10</v>
      </c>
      <c r="E41">
        <v>45</v>
      </c>
      <c r="F41" t="str" cm="1">
        <f t="array" ref="F41">_xlfn.IFS(E41&lt;=35, "18-35", E41&lt;=50, "36-50", E41&lt;=65, "51-65", TRUE, "Over 65")</f>
        <v>36-50</v>
      </c>
      <c r="G41" t="s">
        <v>11</v>
      </c>
      <c r="H41">
        <v>1</v>
      </c>
      <c r="I41" s="2">
        <v>50</v>
      </c>
      <c r="J41" s="2">
        <v>50</v>
      </c>
    </row>
    <row r="42" spans="1:10" x14ac:dyDescent="0.35">
      <c r="A42">
        <v>41</v>
      </c>
      <c r="B42" s="1">
        <v>44979</v>
      </c>
      <c r="C42" t="s">
        <v>54</v>
      </c>
      <c r="D42" t="s">
        <v>10</v>
      </c>
      <c r="E42">
        <v>34</v>
      </c>
      <c r="F42" t="str" cm="1">
        <f t="array" ref="F42">_xlfn.IFS(E42&lt;=35, "18-35", E42&lt;=50, "36-50", E42&lt;=65, "51-65", TRUE, "Over 65")</f>
        <v>18-35</v>
      </c>
      <c r="G42" t="s">
        <v>14</v>
      </c>
      <c r="H42">
        <v>2</v>
      </c>
      <c r="I42" s="2">
        <v>25</v>
      </c>
      <c r="J42" s="2">
        <v>50</v>
      </c>
    </row>
    <row r="43" spans="1:10" x14ac:dyDescent="0.35">
      <c r="A43">
        <v>42</v>
      </c>
      <c r="B43" s="1">
        <v>44974</v>
      </c>
      <c r="C43" t="s">
        <v>55</v>
      </c>
      <c r="D43" t="s">
        <v>10</v>
      </c>
      <c r="E43">
        <v>22</v>
      </c>
      <c r="F43" t="str" cm="1">
        <f t="array" ref="F43">_xlfn.IFS(E43&lt;=35, "18-35", E43&lt;=50, "36-50", E43&lt;=65, "51-65", TRUE, "Over 65")</f>
        <v>18-35</v>
      </c>
      <c r="G43" t="s">
        <v>14</v>
      </c>
      <c r="H43">
        <v>3</v>
      </c>
      <c r="I43" s="2">
        <v>300</v>
      </c>
      <c r="J43" s="2">
        <v>900</v>
      </c>
    </row>
    <row r="44" spans="1:10" x14ac:dyDescent="0.35">
      <c r="A44">
        <v>43</v>
      </c>
      <c r="B44" s="1">
        <v>45121</v>
      </c>
      <c r="C44" t="s">
        <v>56</v>
      </c>
      <c r="D44" t="s">
        <v>13</v>
      </c>
      <c r="E44">
        <v>48</v>
      </c>
      <c r="F44" t="str" cm="1">
        <f t="array" ref="F44">_xlfn.IFS(E44&lt;=35, "18-35", E44&lt;=50, "36-50", E44&lt;=65, "51-65", TRUE, "Over 65")</f>
        <v>36-50</v>
      </c>
      <c r="G44" t="s">
        <v>14</v>
      </c>
      <c r="H44">
        <v>1</v>
      </c>
      <c r="I44" s="2">
        <v>300</v>
      </c>
      <c r="J44" s="2">
        <v>300</v>
      </c>
    </row>
    <row r="45" spans="1:10" x14ac:dyDescent="0.35">
      <c r="A45">
        <v>44</v>
      </c>
      <c r="B45" s="1">
        <v>44976</v>
      </c>
      <c r="C45" t="s">
        <v>57</v>
      </c>
      <c r="D45" t="s">
        <v>13</v>
      </c>
      <c r="E45">
        <v>22</v>
      </c>
      <c r="F45" t="str" cm="1">
        <f t="array" ref="F45">_xlfn.IFS(E45&lt;=35, "18-35", E45&lt;=50, "36-50", E45&lt;=65, "51-65", TRUE, "Over 65")</f>
        <v>18-35</v>
      </c>
      <c r="G45" t="s">
        <v>14</v>
      </c>
      <c r="H45">
        <v>1</v>
      </c>
      <c r="I45" s="2">
        <v>25</v>
      </c>
      <c r="J45" s="2">
        <v>25</v>
      </c>
    </row>
    <row r="46" spans="1:10" x14ac:dyDescent="0.35">
      <c r="A46">
        <v>45</v>
      </c>
      <c r="B46" s="1">
        <v>45110</v>
      </c>
      <c r="C46" t="s">
        <v>58</v>
      </c>
      <c r="D46" t="s">
        <v>13</v>
      </c>
      <c r="E46">
        <v>55</v>
      </c>
      <c r="F46" t="str" cm="1">
        <f t="array" ref="F46">_xlfn.IFS(E46&lt;=35, "18-35", E46&lt;=50, "36-50", E46&lt;=65, "51-65", TRUE, "Over 65")</f>
        <v>51-65</v>
      </c>
      <c r="G46" t="s">
        <v>16</v>
      </c>
      <c r="H46">
        <v>1</v>
      </c>
      <c r="I46" s="2">
        <v>30</v>
      </c>
      <c r="J46" s="2">
        <v>30</v>
      </c>
    </row>
    <row r="47" spans="1:10" x14ac:dyDescent="0.35">
      <c r="A47">
        <v>46</v>
      </c>
      <c r="B47" s="1">
        <v>45103</v>
      </c>
      <c r="C47" t="s">
        <v>59</v>
      </c>
      <c r="D47" t="s">
        <v>13</v>
      </c>
      <c r="E47">
        <v>20</v>
      </c>
      <c r="F47" t="str" cm="1">
        <f t="array" ref="F47">_xlfn.IFS(E47&lt;=35, "18-35", E47&lt;=50, "36-50", E47&lt;=65, "51-65", TRUE, "Over 65")</f>
        <v>18-35</v>
      </c>
      <c r="G47" t="s">
        <v>16</v>
      </c>
      <c r="H47">
        <v>4</v>
      </c>
      <c r="I47" s="2">
        <v>300</v>
      </c>
      <c r="J47" s="2">
        <v>1200</v>
      </c>
    </row>
    <row r="48" spans="1:10" x14ac:dyDescent="0.35">
      <c r="A48">
        <v>47</v>
      </c>
      <c r="B48" s="1">
        <v>45236</v>
      </c>
      <c r="C48" t="s">
        <v>60</v>
      </c>
      <c r="D48" t="s">
        <v>13</v>
      </c>
      <c r="E48">
        <v>40</v>
      </c>
      <c r="F48" t="str" cm="1">
        <f t="array" ref="F48">_xlfn.IFS(E48&lt;=35, "18-35", E48&lt;=50, "36-50", E48&lt;=65, "51-65", TRUE, "Over 65")</f>
        <v>36-50</v>
      </c>
      <c r="G48" t="s">
        <v>11</v>
      </c>
      <c r="H48">
        <v>3</v>
      </c>
      <c r="I48" s="2">
        <v>500</v>
      </c>
      <c r="J48" s="2">
        <v>1500</v>
      </c>
    </row>
    <row r="49" spans="1:10" x14ac:dyDescent="0.35">
      <c r="A49">
        <v>48</v>
      </c>
      <c r="B49" s="1">
        <v>45062</v>
      </c>
      <c r="C49" t="s">
        <v>61</v>
      </c>
      <c r="D49" t="s">
        <v>10</v>
      </c>
      <c r="E49">
        <v>54</v>
      </c>
      <c r="F49" t="str" cm="1">
        <f t="array" ref="F49">_xlfn.IFS(E49&lt;=35, "18-35", E49&lt;=50, "36-50", E49&lt;=65, "51-65", TRUE, "Over 65")</f>
        <v>51-65</v>
      </c>
      <c r="G49" t="s">
        <v>16</v>
      </c>
      <c r="H49">
        <v>3</v>
      </c>
      <c r="I49" s="2">
        <v>300</v>
      </c>
      <c r="J49" s="2">
        <v>900</v>
      </c>
    </row>
    <row r="50" spans="1:10" x14ac:dyDescent="0.35">
      <c r="A50">
        <v>49</v>
      </c>
      <c r="B50" s="1">
        <v>44949</v>
      </c>
      <c r="C50" t="s">
        <v>62</v>
      </c>
      <c r="D50" t="s">
        <v>13</v>
      </c>
      <c r="E50">
        <v>54</v>
      </c>
      <c r="F50" t="str" cm="1">
        <f t="array" ref="F50">_xlfn.IFS(E50&lt;=35, "18-35", E50&lt;=50, "36-50", E50&lt;=65, "51-65", TRUE, "Over 65")</f>
        <v>51-65</v>
      </c>
      <c r="G50" t="s">
        <v>16</v>
      </c>
      <c r="H50">
        <v>2</v>
      </c>
      <c r="I50" s="2">
        <v>500</v>
      </c>
      <c r="J50" s="2">
        <v>1000</v>
      </c>
    </row>
    <row r="51" spans="1:10" x14ac:dyDescent="0.35">
      <c r="A51">
        <v>50</v>
      </c>
      <c r="B51" s="1">
        <v>45162</v>
      </c>
      <c r="C51" t="s">
        <v>63</v>
      </c>
      <c r="D51" t="s">
        <v>13</v>
      </c>
      <c r="E51">
        <v>27</v>
      </c>
      <c r="F51" t="str" cm="1">
        <f t="array" ref="F51">_xlfn.IFS(E51&lt;=35, "18-35", E51&lt;=50, "36-50", E51&lt;=65, "51-65", TRUE, "Over 65")</f>
        <v>18-35</v>
      </c>
      <c r="G51" t="s">
        <v>11</v>
      </c>
      <c r="H51">
        <v>3</v>
      </c>
      <c r="I51" s="2">
        <v>25</v>
      </c>
      <c r="J51" s="2">
        <v>75</v>
      </c>
    </row>
    <row r="52" spans="1:10" x14ac:dyDescent="0.35">
      <c r="A52">
        <v>51</v>
      </c>
      <c r="B52" s="1">
        <v>45201</v>
      </c>
      <c r="C52" t="s">
        <v>64</v>
      </c>
      <c r="D52" t="s">
        <v>10</v>
      </c>
      <c r="E52">
        <v>27</v>
      </c>
      <c r="F52" t="str" cm="1">
        <f t="array" ref="F52">_xlfn.IFS(E52&lt;=35, "18-35", E52&lt;=50, "36-50", E52&lt;=65, "51-65", TRUE, "Over 65")</f>
        <v>18-35</v>
      </c>
      <c r="G52" t="s">
        <v>11</v>
      </c>
      <c r="H52">
        <v>3</v>
      </c>
      <c r="I52" s="2">
        <v>25</v>
      </c>
      <c r="J52" s="2">
        <v>75</v>
      </c>
    </row>
    <row r="53" spans="1:10" x14ac:dyDescent="0.35">
      <c r="A53">
        <v>52</v>
      </c>
      <c r="B53" s="1">
        <v>44990</v>
      </c>
      <c r="C53" t="s">
        <v>65</v>
      </c>
      <c r="D53" t="s">
        <v>13</v>
      </c>
      <c r="E53">
        <v>36</v>
      </c>
      <c r="F53" t="str" cm="1">
        <f t="array" ref="F53">_xlfn.IFS(E53&lt;=35, "18-35", E53&lt;=50, "36-50", E53&lt;=65, "51-65", TRUE, "Over 65")</f>
        <v>36-50</v>
      </c>
      <c r="G53" t="s">
        <v>11</v>
      </c>
      <c r="H53">
        <v>1</v>
      </c>
      <c r="I53" s="2">
        <v>300</v>
      </c>
      <c r="J53" s="2">
        <v>300</v>
      </c>
    </row>
    <row r="54" spans="1:10" x14ac:dyDescent="0.35">
      <c r="A54">
        <v>53</v>
      </c>
      <c r="B54" s="1">
        <v>45120</v>
      </c>
      <c r="C54" t="s">
        <v>66</v>
      </c>
      <c r="D54" t="s">
        <v>10</v>
      </c>
      <c r="E54">
        <v>34</v>
      </c>
      <c r="F54" t="str" cm="1">
        <f t="array" ref="F54">_xlfn.IFS(E54&lt;=35, "18-35", E54&lt;=50, "36-50", E54&lt;=65, "51-65", TRUE, "Over 65")</f>
        <v>18-35</v>
      </c>
      <c r="G54" t="s">
        <v>16</v>
      </c>
      <c r="H54">
        <v>2</v>
      </c>
      <c r="I54" s="2">
        <v>50</v>
      </c>
      <c r="J54" s="2">
        <v>100</v>
      </c>
    </row>
    <row r="55" spans="1:10" x14ac:dyDescent="0.35">
      <c r="A55">
        <v>54</v>
      </c>
      <c r="B55" s="1">
        <v>44967</v>
      </c>
      <c r="C55" t="s">
        <v>67</v>
      </c>
      <c r="D55" t="s">
        <v>13</v>
      </c>
      <c r="E55">
        <v>38</v>
      </c>
      <c r="F55" t="str" cm="1">
        <f t="array" ref="F55">_xlfn.IFS(E55&lt;=35, "18-35", E55&lt;=50, "36-50", E55&lt;=65, "51-65", TRUE, "Over 65")</f>
        <v>36-50</v>
      </c>
      <c r="G55" t="s">
        <v>16</v>
      </c>
      <c r="H55">
        <v>3</v>
      </c>
      <c r="I55" s="2">
        <v>500</v>
      </c>
      <c r="J55" s="2">
        <v>1500</v>
      </c>
    </row>
    <row r="56" spans="1:10" x14ac:dyDescent="0.35">
      <c r="A56">
        <v>55</v>
      </c>
      <c r="B56" s="1">
        <v>45209</v>
      </c>
      <c r="C56" t="s">
        <v>68</v>
      </c>
      <c r="D56" t="s">
        <v>10</v>
      </c>
      <c r="E56">
        <v>31</v>
      </c>
      <c r="F56" t="str" cm="1">
        <f t="array" ref="F56">_xlfn.IFS(E56&lt;=35, "18-35", E56&lt;=50, "36-50", E56&lt;=65, "51-65", TRUE, "Over 65")</f>
        <v>18-35</v>
      </c>
      <c r="G56" t="s">
        <v>11</v>
      </c>
      <c r="H56">
        <v>4</v>
      </c>
      <c r="I56" s="2">
        <v>30</v>
      </c>
      <c r="J56" s="2">
        <v>120</v>
      </c>
    </row>
    <row r="57" spans="1:10" x14ac:dyDescent="0.35">
      <c r="A57">
        <v>56</v>
      </c>
      <c r="B57" s="1">
        <v>45077</v>
      </c>
      <c r="C57" t="s">
        <v>69</v>
      </c>
      <c r="D57" t="s">
        <v>13</v>
      </c>
      <c r="E57">
        <v>26</v>
      </c>
      <c r="F57" t="str" cm="1">
        <f t="array" ref="F57">_xlfn.IFS(E57&lt;=35, "18-35", E57&lt;=50, "36-50", E57&lt;=65, "51-65", TRUE, "Over 65")</f>
        <v>18-35</v>
      </c>
      <c r="G57" t="s">
        <v>14</v>
      </c>
      <c r="H57">
        <v>3</v>
      </c>
      <c r="I57" s="2">
        <v>300</v>
      </c>
      <c r="J57" s="2">
        <v>900</v>
      </c>
    </row>
    <row r="58" spans="1:10" x14ac:dyDescent="0.35">
      <c r="A58">
        <v>57</v>
      </c>
      <c r="B58" s="1">
        <v>45248</v>
      </c>
      <c r="C58" t="s">
        <v>70</v>
      </c>
      <c r="D58" t="s">
        <v>13</v>
      </c>
      <c r="E58">
        <v>63</v>
      </c>
      <c r="F58" t="str" cm="1">
        <f t="array" ref="F58">_xlfn.IFS(E58&lt;=35, "18-35", E58&lt;=50, "36-50", E58&lt;=65, "51-65", TRUE, "Over 65")</f>
        <v>51-65</v>
      </c>
      <c r="G58" t="s">
        <v>11</v>
      </c>
      <c r="H58">
        <v>1</v>
      </c>
      <c r="I58" s="2">
        <v>30</v>
      </c>
      <c r="J58" s="2">
        <v>30</v>
      </c>
    </row>
    <row r="59" spans="1:10" x14ac:dyDescent="0.35">
      <c r="A59">
        <v>58</v>
      </c>
      <c r="B59" s="1">
        <v>45243</v>
      </c>
      <c r="C59" t="s">
        <v>71</v>
      </c>
      <c r="D59" t="s">
        <v>10</v>
      </c>
      <c r="E59">
        <v>18</v>
      </c>
      <c r="F59" t="str" cm="1">
        <f t="array" ref="F59">_xlfn.IFS(E59&lt;=35, "18-35", E59&lt;=50, "36-50", E59&lt;=65, "51-65", TRUE, "Over 65")</f>
        <v>18-35</v>
      </c>
      <c r="G59" t="s">
        <v>14</v>
      </c>
      <c r="H59">
        <v>4</v>
      </c>
      <c r="I59" s="2">
        <v>300</v>
      </c>
      <c r="J59" s="2">
        <v>1200</v>
      </c>
    </row>
    <row r="60" spans="1:10" x14ac:dyDescent="0.35">
      <c r="A60">
        <v>59</v>
      </c>
      <c r="B60" s="1">
        <v>45112</v>
      </c>
      <c r="C60" t="s">
        <v>72</v>
      </c>
      <c r="D60" t="s">
        <v>10</v>
      </c>
      <c r="E60">
        <v>62</v>
      </c>
      <c r="F60" t="str" cm="1">
        <f t="array" ref="F60">_xlfn.IFS(E60&lt;=35, "18-35", E60&lt;=50, "36-50", E60&lt;=65, "51-65", TRUE, "Over 65")</f>
        <v>51-65</v>
      </c>
      <c r="G60" t="s">
        <v>14</v>
      </c>
      <c r="H60">
        <v>1</v>
      </c>
      <c r="I60" s="2">
        <v>50</v>
      </c>
      <c r="J60" s="2">
        <v>50</v>
      </c>
    </row>
    <row r="61" spans="1:10" x14ac:dyDescent="0.35">
      <c r="A61">
        <v>60</v>
      </c>
      <c r="B61" s="1">
        <v>45222</v>
      </c>
      <c r="C61" t="s">
        <v>73</v>
      </c>
      <c r="D61" t="s">
        <v>10</v>
      </c>
      <c r="E61">
        <v>30</v>
      </c>
      <c r="F61" t="str" cm="1">
        <f t="array" ref="F61">_xlfn.IFS(E61&lt;=35, "18-35", E61&lt;=50, "36-50", E61&lt;=65, "51-65", TRUE, "Over 65")</f>
        <v>18-35</v>
      </c>
      <c r="G61" t="s">
        <v>11</v>
      </c>
      <c r="H61">
        <v>3</v>
      </c>
      <c r="I61" s="2">
        <v>50</v>
      </c>
      <c r="J61" s="2">
        <v>150</v>
      </c>
    </row>
    <row r="62" spans="1:10" x14ac:dyDescent="0.35">
      <c r="A62">
        <v>61</v>
      </c>
      <c r="B62" s="1">
        <v>45025</v>
      </c>
      <c r="C62" t="s">
        <v>74</v>
      </c>
      <c r="D62" t="s">
        <v>10</v>
      </c>
      <c r="E62">
        <v>21</v>
      </c>
      <c r="F62" t="str" cm="1">
        <f t="array" ref="F62">_xlfn.IFS(E62&lt;=35, "18-35", E62&lt;=50, "36-50", E62&lt;=65, "51-65", TRUE, "Over 65")</f>
        <v>18-35</v>
      </c>
      <c r="G62" t="s">
        <v>11</v>
      </c>
      <c r="H62">
        <v>4</v>
      </c>
      <c r="I62" s="2">
        <v>50</v>
      </c>
      <c r="J62" s="2">
        <v>200</v>
      </c>
    </row>
    <row r="63" spans="1:10" x14ac:dyDescent="0.35">
      <c r="A63">
        <v>62</v>
      </c>
      <c r="B63" s="1">
        <v>45287</v>
      </c>
      <c r="C63" t="s">
        <v>75</v>
      </c>
      <c r="D63" t="s">
        <v>10</v>
      </c>
      <c r="E63">
        <v>18</v>
      </c>
      <c r="F63" t="str" cm="1">
        <f t="array" ref="F63">_xlfn.IFS(E63&lt;=35, "18-35", E63&lt;=50, "36-50", E63&lt;=65, "51-65", TRUE, "Over 65")</f>
        <v>18-35</v>
      </c>
      <c r="G63" t="s">
        <v>11</v>
      </c>
      <c r="H63">
        <v>2</v>
      </c>
      <c r="I63" s="2">
        <v>50</v>
      </c>
      <c r="J63" s="2">
        <v>100</v>
      </c>
    </row>
    <row r="64" spans="1:10" x14ac:dyDescent="0.35">
      <c r="A64">
        <v>63</v>
      </c>
      <c r="B64" s="1">
        <v>44962</v>
      </c>
      <c r="C64" t="s">
        <v>76</v>
      </c>
      <c r="D64" t="s">
        <v>10</v>
      </c>
      <c r="E64">
        <v>57</v>
      </c>
      <c r="F64" t="str" cm="1">
        <f t="array" ref="F64">_xlfn.IFS(E64&lt;=35, "18-35", E64&lt;=50, "36-50", E64&lt;=65, "51-65", TRUE, "Over 65")</f>
        <v>51-65</v>
      </c>
      <c r="G64" t="s">
        <v>16</v>
      </c>
      <c r="H64">
        <v>2</v>
      </c>
      <c r="I64" s="2">
        <v>25</v>
      </c>
      <c r="J64" s="2">
        <v>50</v>
      </c>
    </row>
    <row r="65" spans="1:10" x14ac:dyDescent="0.35">
      <c r="A65">
        <v>64</v>
      </c>
      <c r="B65" s="1">
        <v>44950</v>
      </c>
      <c r="C65" t="s">
        <v>77</v>
      </c>
      <c r="D65" t="s">
        <v>10</v>
      </c>
      <c r="E65">
        <v>49</v>
      </c>
      <c r="F65" t="str" cm="1">
        <f t="array" ref="F65">_xlfn.IFS(E65&lt;=35, "18-35", E65&lt;=50, "36-50", E65&lt;=65, "51-65", TRUE, "Over 65")</f>
        <v>36-50</v>
      </c>
      <c r="G65" t="s">
        <v>14</v>
      </c>
      <c r="H65">
        <v>4</v>
      </c>
      <c r="I65" s="2">
        <v>25</v>
      </c>
      <c r="J65" s="2">
        <v>100</v>
      </c>
    </row>
    <row r="66" spans="1:10" x14ac:dyDescent="0.35">
      <c r="A66">
        <v>65</v>
      </c>
      <c r="B66" s="1">
        <v>45265</v>
      </c>
      <c r="C66" t="s">
        <v>78</v>
      </c>
      <c r="D66" t="s">
        <v>10</v>
      </c>
      <c r="E66">
        <v>51</v>
      </c>
      <c r="F66" t="str" cm="1">
        <f t="array" ref="F66">_xlfn.IFS(E66&lt;=35, "18-35", E66&lt;=50, "36-50", E66&lt;=65, "51-65", TRUE, "Over 65")</f>
        <v>51-65</v>
      </c>
      <c r="G66" t="s">
        <v>16</v>
      </c>
      <c r="H66">
        <v>4</v>
      </c>
      <c r="I66" s="2">
        <v>500</v>
      </c>
      <c r="J66" s="2">
        <v>2000</v>
      </c>
    </row>
    <row r="67" spans="1:10" x14ac:dyDescent="0.35">
      <c r="A67">
        <v>66</v>
      </c>
      <c r="B67" s="1">
        <v>45043</v>
      </c>
      <c r="C67" t="s">
        <v>79</v>
      </c>
      <c r="D67" t="s">
        <v>13</v>
      </c>
      <c r="E67">
        <v>45</v>
      </c>
      <c r="F67" t="str" cm="1">
        <f t="array" ref="F67">_xlfn.IFS(E67&lt;=35, "18-35", E67&lt;=50, "36-50", E67&lt;=65, "51-65", TRUE, "Over 65")</f>
        <v>36-50</v>
      </c>
      <c r="G67" t="s">
        <v>16</v>
      </c>
      <c r="H67">
        <v>1</v>
      </c>
      <c r="I67" s="2">
        <v>30</v>
      </c>
      <c r="J67" s="2">
        <v>30</v>
      </c>
    </row>
    <row r="68" spans="1:10" x14ac:dyDescent="0.35">
      <c r="A68">
        <v>67</v>
      </c>
      <c r="B68" s="1">
        <v>45075</v>
      </c>
      <c r="C68" t="s">
        <v>80</v>
      </c>
      <c r="D68" t="s">
        <v>13</v>
      </c>
      <c r="E68">
        <v>48</v>
      </c>
      <c r="F68" t="str" cm="1">
        <f t="array" ref="F68">_xlfn.IFS(E68&lt;=35, "18-35", E68&lt;=50, "36-50", E68&lt;=65, "51-65", TRUE, "Over 65")</f>
        <v>36-50</v>
      </c>
      <c r="G68" t="s">
        <v>11</v>
      </c>
      <c r="H68">
        <v>4</v>
      </c>
      <c r="I68" s="2">
        <v>300</v>
      </c>
      <c r="J68" s="2">
        <v>1200</v>
      </c>
    </row>
    <row r="69" spans="1:10" x14ac:dyDescent="0.35">
      <c r="A69">
        <v>68</v>
      </c>
      <c r="B69" s="1">
        <v>44967</v>
      </c>
      <c r="C69" t="s">
        <v>81</v>
      </c>
      <c r="D69" t="s">
        <v>10</v>
      </c>
      <c r="E69">
        <v>25</v>
      </c>
      <c r="F69" t="str" cm="1">
        <f t="array" ref="F69">_xlfn.IFS(E69&lt;=35, "18-35", E69&lt;=50, "36-50", E69&lt;=65, "51-65", TRUE, "Over 65")</f>
        <v>18-35</v>
      </c>
      <c r="G69" t="s">
        <v>16</v>
      </c>
      <c r="H69">
        <v>1</v>
      </c>
      <c r="I69" s="2">
        <v>300</v>
      </c>
      <c r="J69" s="2">
        <v>300</v>
      </c>
    </row>
    <row r="70" spans="1:10" x14ac:dyDescent="0.35">
      <c r="A70">
        <v>69</v>
      </c>
      <c r="B70" s="1">
        <v>45046</v>
      </c>
      <c r="C70" t="s">
        <v>82</v>
      </c>
      <c r="D70" t="s">
        <v>13</v>
      </c>
      <c r="E70">
        <v>56</v>
      </c>
      <c r="F70" t="str" cm="1">
        <f t="array" ref="F70">_xlfn.IFS(E70&lt;=35, "18-35", E70&lt;=50, "36-50", E70&lt;=65, "51-65", TRUE, "Over 65")</f>
        <v>51-65</v>
      </c>
      <c r="G70" t="s">
        <v>11</v>
      </c>
      <c r="H70">
        <v>3</v>
      </c>
      <c r="I70" s="2">
        <v>25</v>
      </c>
      <c r="J70" s="2">
        <v>75</v>
      </c>
    </row>
    <row r="71" spans="1:10" x14ac:dyDescent="0.35">
      <c r="A71">
        <v>70</v>
      </c>
      <c r="B71" s="1">
        <v>44978</v>
      </c>
      <c r="C71" t="s">
        <v>83</v>
      </c>
      <c r="D71" t="s">
        <v>13</v>
      </c>
      <c r="E71">
        <v>43</v>
      </c>
      <c r="F71" t="str" cm="1">
        <f t="array" ref="F71">_xlfn.IFS(E71&lt;=35, "18-35", E71&lt;=50, "36-50", E71&lt;=65, "51-65", TRUE, "Over 65")</f>
        <v>36-50</v>
      </c>
      <c r="G71" t="s">
        <v>14</v>
      </c>
      <c r="H71">
        <v>1</v>
      </c>
      <c r="I71" s="2">
        <v>300</v>
      </c>
      <c r="J71" s="2">
        <v>300</v>
      </c>
    </row>
    <row r="72" spans="1:10" x14ac:dyDescent="0.35">
      <c r="A72">
        <v>71</v>
      </c>
      <c r="B72" s="1">
        <v>45121</v>
      </c>
      <c r="C72" t="s">
        <v>84</v>
      </c>
      <c r="D72" t="s">
        <v>13</v>
      </c>
      <c r="E72">
        <v>51</v>
      </c>
      <c r="F72" t="str" cm="1">
        <f t="array" ref="F72">_xlfn.IFS(E72&lt;=35, "18-35", E72&lt;=50, "36-50", E72&lt;=65, "51-65", TRUE, "Over 65")</f>
        <v>51-65</v>
      </c>
      <c r="G72" t="s">
        <v>11</v>
      </c>
      <c r="H72">
        <v>4</v>
      </c>
      <c r="I72" s="2">
        <v>25</v>
      </c>
      <c r="J72" s="2">
        <v>100</v>
      </c>
    </row>
    <row r="73" spans="1:10" x14ac:dyDescent="0.35">
      <c r="A73">
        <v>72</v>
      </c>
      <c r="B73" s="1">
        <v>45069</v>
      </c>
      <c r="C73" t="s">
        <v>85</v>
      </c>
      <c r="D73" t="s">
        <v>13</v>
      </c>
      <c r="E73">
        <v>20</v>
      </c>
      <c r="F73" t="str" cm="1">
        <f t="array" ref="F73">_xlfn.IFS(E73&lt;=35, "18-35", E73&lt;=50, "36-50", E73&lt;=65, "51-65", TRUE, "Over 65")</f>
        <v>18-35</v>
      </c>
      <c r="G73" t="s">
        <v>16</v>
      </c>
      <c r="H73">
        <v>4</v>
      </c>
      <c r="I73" s="2">
        <v>500</v>
      </c>
      <c r="J73" s="2">
        <v>2000</v>
      </c>
    </row>
    <row r="74" spans="1:10" x14ac:dyDescent="0.35">
      <c r="A74">
        <v>73</v>
      </c>
      <c r="B74" s="1">
        <v>45159</v>
      </c>
      <c r="C74" t="s">
        <v>86</v>
      </c>
      <c r="D74" t="s">
        <v>10</v>
      </c>
      <c r="E74">
        <v>29</v>
      </c>
      <c r="F74" t="str" cm="1">
        <f t="array" ref="F74">_xlfn.IFS(E74&lt;=35, "18-35", E74&lt;=50, "36-50", E74&lt;=65, "51-65", TRUE, "Over 65")</f>
        <v>18-35</v>
      </c>
      <c r="G74" t="s">
        <v>16</v>
      </c>
      <c r="H74">
        <v>3</v>
      </c>
      <c r="I74" s="2">
        <v>30</v>
      </c>
      <c r="J74" s="2">
        <v>90</v>
      </c>
    </row>
    <row r="75" spans="1:10" x14ac:dyDescent="0.35">
      <c r="A75">
        <v>74</v>
      </c>
      <c r="B75" s="1">
        <v>45252</v>
      </c>
      <c r="C75" t="s">
        <v>87</v>
      </c>
      <c r="D75" t="s">
        <v>13</v>
      </c>
      <c r="E75">
        <v>18</v>
      </c>
      <c r="F75" t="str" cm="1">
        <f t="array" ref="F75">_xlfn.IFS(E75&lt;=35, "18-35", E75&lt;=50, "36-50", E75&lt;=65, "51-65", TRUE, "Over 65")</f>
        <v>18-35</v>
      </c>
      <c r="G75" t="s">
        <v>11</v>
      </c>
      <c r="H75">
        <v>4</v>
      </c>
      <c r="I75" s="2">
        <v>500</v>
      </c>
      <c r="J75" s="2">
        <v>2000</v>
      </c>
    </row>
    <row r="76" spans="1:10" x14ac:dyDescent="0.35">
      <c r="A76">
        <v>75</v>
      </c>
      <c r="B76" s="1">
        <v>45113</v>
      </c>
      <c r="C76" t="s">
        <v>88</v>
      </c>
      <c r="D76" t="s">
        <v>10</v>
      </c>
      <c r="E76">
        <v>61</v>
      </c>
      <c r="F76" t="str" cm="1">
        <f t="array" ref="F76">_xlfn.IFS(E76&lt;=35, "18-35", E76&lt;=50, "36-50", E76&lt;=65, "51-65", TRUE, "Over 65")</f>
        <v>51-65</v>
      </c>
      <c r="G76" t="s">
        <v>11</v>
      </c>
      <c r="H76">
        <v>4</v>
      </c>
      <c r="I76" s="2">
        <v>50</v>
      </c>
      <c r="J76" s="2">
        <v>200</v>
      </c>
    </row>
    <row r="77" spans="1:10" x14ac:dyDescent="0.35">
      <c r="A77">
        <v>76</v>
      </c>
      <c r="B77" s="1">
        <v>45010</v>
      </c>
      <c r="C77" t="s">
        <v>89</v>
      </c>
      <c r="D77" t="s">
        <v>13</v>
      </c>
      <c r="E77">
        <v>22</v>
      </c>
      <c r="F77" t="str" cm="1">
        <f t="array" ref="F77">_xlfn.IFS(E77&lt;=35, "18-35", E77&lt;=50, "36-50", E77&lt;=65, "51-65", TRUE, "Over 65")</f>
        <v>18-35</v>
      </c>
      <c r="G77" t="s">
        <v>16</v>
      </c>
      <c r="H77">
        <v>2</v>
      </c>
      <c r="I77" s="2">
        <v>50</v>
      </c>
      <c r="J77" s="2">
        <v>100</v>
      </c>
    </row>
    <row r="78" spans="1:10" x14ac:dyDescent="0.35">
      <c r="A78">
        <v>77</v>
      </c>
      <c r="B78" s="1">
        <v>45116</v>
      </c>
      <c r="C78" t="s">
        <v>90</v>
      </c>
      <c r="D78" t="s">
        <v>13</v>
      </c>
      <c r="E78">
        <v>47</v>
      </c>
      <c r="F78" t="str" cm="1">
        <f t="array" ref="F78">_xlfn.IFS(E78&lt;=35, "18-35", E78&lt;=50, "36-50", E78&lt;=65, "51-65", TRUE, "Over 65")</f>
        <v>36-50</v>
      </c>
      <c r="G78" t="s">
        <v>14</v>
      </c>
      <c r="H78">
        <v>2</v>
      </c>
      <c r="I78" s="2">
        <v>50</v>
      </c>
      <c r="J78" s="2">
        <v>100</v>
      </c>
    </row>
    <row r="79" spans="1:10" x14ac:dyDescent="0.35">
      <c r="A79">
        <v>78</v>
      </c>
      <c r="B79" s="1">
        <v>45108</v>
      </c>
      <c r="C79" t="s">
        <v>91</v>
      </c>
      <c r="D79" t="s">
        <v>13</v>
      </c>
      <c r="E79">
        <v>47</v>
      </c>
      <c r="F79" t="str" cm="1">
        <f t="array" ref="F79">_xlfn.IFS(E79&lt;=35, "18-35", E79&lt;=50, "36-50", E79&lt;=65, "51-65", TRUE, "Over 65")</f>
        <v>36-50</v>
      </c>
      <c r="G79" t="s">
        <v>14</v>
      </c>
      <c r="H79">
        <v>3</v>
      </c>
      <c r="I79" s="2">
        <v>500</v>
      </c>
      <c r="J79" s="2">
        <v>1500</v>
      </c>
    </row>
    <row r="80" spans="1:10" x14ac:dyDescent="0.35">
      <c r="A80">
        <v>79</v>
      </c>
      <c r="B80" s="1">
        <v>45034</v>
      </c>
      <c r="C80" t="s">
        <v>92</v>
      </c>
      <c r="D80" t="s">
        <v>10</v>
      </c>
      <c r="E80">
        <v>34</v>
      </c>
      <c r="F80" t="str" cm="1">
        <f t="array" ref="F80">_xlfn.IFS(E80&lt;=35, "18-35", E80&lt;=50, "36-50", E80&lt;=65, "51-65", TRUE, "Over 65")</f>
        <v>18-35</v>
      </c>
      <c r="G80" t="s">
        <v>11</v>
      </c>
      <c r="H80">
        <v>1</v>
      </c>
      <c r="I80" s="2">
        <v>300</v>
      </c>
      <c r="J80" s="2">
        <v>300</v>
      </c>
    </row>
    <row r="81" spans="1:10" x14ac:dyDescent="0.35">
      <c r="A81">
        <v>80</v>
      </c>
      <c r="B81" s="1">
        <v>45270</v>
      </c>
      <c r="C81" t="s">
        <v>93</v>
      </c>
      <c r="D81" t="s">
        <v>13</v>
      </c>
      <c r="E81">
        <v>64</v>
      </c>
      <c r="F81" t="str" cm="1">
        <f t="array" ref="F81">_xlfn.IFS(E81&lt;=35, "18-35", E81&lt;=50, "36-50", E81&lt;=65, "51-65", TRUE, "Over 65")</f>
        <v>51-65</v>
      </c>
      <c r="G81" t="s">
        <v>14</v>
      </c>
      <c r="H81">
        <v>2</v>
      </c>
      <c r="I81" s="2">
        <v>30</v>
      </c>
      <c r="J81" s="2">
        <v>60</v>
      </c>
    </row>
    <row r="82" spans="1:10" x14ac:dyDescent="0.35">
      <c r="A82">
        <v>81</v>
      </c>
      <c r="B82" s="1">
        <v>45063</v>
      </c>
      <c r="C82" t="s">
        <v>94</v>
      </c>
      <c r="D82" t="s">
        <v>10</v>
      </c>
      <c r="E82">
        <v>40</v>
      </c>
      <c r="F82" t="str" cm="1">
        <f t="array" ref="F82">_xlfn.IFS(E82&lt;=35, "18-35", E82&lt;=50, "36-50", E82&lt;=65, "51-65", TRUE, "Over 65")</f>
        <v>36-50</v>
      </c>
      <c r="G82" t="s">
        <v>16</v>
      </c>
      <c r="H82">
        <v>1</v>
      </c>
      <c r="I82" s="2">
        <v>50</v>
      </c>
      <c r="J82" s="2">
        <v>50</v>
      </c>
    </row>
    <row r="83" spans="1:10" x14ac:dyDescent="0.35">
      <c r="A83">
        <v>82</v>
      </c>
      <c r="B83" s="1">
        <v>45286</v>
      </c>
      <c r="C83" t="s">
        <v>95</v>
      </c>
      <c r="D83" t="s">
        <v>13</v>
      </c>
      <c r="E83">
        <v>32</v>
      </c>
      <c r="F83" t="str" cm="1">
        <f t="array" ref="F83">_xlfn.IFS(E83&lt;=35, "18-35", E83&lt;=50, "36-50", E83&lt;=65, "51-65", TRUE, "Over 65")</f>
        <v>18-35</v>
      </c>
      <c r="G83" t="s">
        <v>11</v>
      </c>
      <c r="H83">
        <v>4</v>
      </c>
      <c r="I83" s="2">
        <v>50</v>
      </c>
      <c r="J83" s="2">
        <v>200</v>
      </c>
    </row>
    <row r="84" spans="1:10" x14ac:dyDescent="0.35">
      <c r="A84">
        <v>83</v>
      </c>
      <c r="B84" s="1">
        <v>45276</v>
      </c>
      <c r="C84" t="s">
        <v>96</v>
      </c>
      <c r="D84" t="s">
        <v>10</v>
      </c>
      <c r="E84">
        <v>54</v>
      </c>
      <c r="F84" t="str" cm="1">
        <f t="array" ref="F84">_xlfn.IFS(E84&lt;=35, "18-35", E84&lt;=50, "36-50", E84&lt;=65, "51-65", TRUE, "Over 65")</f>
        <v>51-65</v>
      </c>
      <c r="G84" t="s">
        <v>16</v>
      </c>
      <c r="H84">
        <v>2</v>
      </c>
      <c r="I84" s="2">
        <v>50</v>
      </c>
      <c r="J84" s="2">
        <v>100</v>
      </c>
    </row>
    <row r="85" spans="1:10" x14ac:dyDescent="0.35">
      <c r="A85">
        <v>84</v>
      </c>
      <c r="B85" s="1">
        <v>45258</v>
      </c>
      <c r="C85" t="s">
        <v>97</v>
      </c>
      <c r="D85" t="s">
        <v>13</v>
      </c>
      <c r="E85">
        <v>38</v>
      </c>
      <c r="F85" t="str" cm="1">
        <f t="array" ref="F85">_xlfn.IFS(E85&lt;=35, "18-35", E85&lt;=50, "36-50", E85&lt;=65, "51-65", TRUE, "Over 65")</f>
        <v>36-50</v>
      </c>
      <c r="G85" t="s">
        <v>16</v>
      </c>
      <c r="H85">
        <v>3</v>
      </c>
      <c r="I85" s="2">
        <v>30</v>
      </c>
      <c r="J85" s="2">
        <v>90</v>
      </c>
    </row>
    <row r="86" spans="1:10" x14ac:dyDescent="0.35">
      <c r="A86">
        <v>85</v>
      </c>
      <c r="B86" s="1">
        <v>44963</v>
      </c>
      <c r="C86" t="s">
        <v>98</v>
      </c>
      <c r="D86" t="s">
        <v>10</v>
      </c>
      <c r="E86">
        <v>31</v>
      </c>
      <c r="F86" t="str" cm="1">
        <f t="array" ref="F86">_xlfn.IFS(E86&lt;=35, "18-35", E86&lt;=50, "36-50", E86&lt;=65, "51-65", TRUE, "Over 65")</f>
        <v>18-35</v>
      </c>
      <c r="G86" t="s">
        <v>14</v>
      </c>
      <c r="H86">
        <v>3</v>
      </c>
      <c r="I86" s="2">
        <v>50</v>
      </c>
      <c r="J86" s="2">
        <v>150</v>
      </c>
    </row>
    <row r="87" spans="1:10" x14ac:dyDescent="0.35">
      <c r="A87">
        <v>86</v>
      </c>
      <c r="B87" s="1">
        <v>45238</v>
      </c>
      <c r="C87" t="s">
        <v>99</v>
      </c>
      <c r="D87" t="s">
        <v>10</v>
      </c>
      <c r="E87">
        <v>19</v>
      </c>
      <c r="F87" t="str" cm="1">
        <f t="array" ref="F87">_xlfn.IFS(E87&lt;=35, "18-35", E87&lt;=50, "36-50", E87&lt;=65, "51-65", TRUE, "Over 65")</f>
        <v>18-35</v>
      </c>
      <c r="G87" t="s">
        <v>11</v>
      </c>
      <c r="H87">
        <v>3</v>
      </c>
      <c r="I87" s="2">
        <v>30</v>
      </c>
      <c r="J87" s="2">
        <v>90</v>
      </c>
    </row>
    <row r="88" spans="1:10" x14ac:dyDescent="0.35">
      <c r="A88">
        <v>87</v>
      </c>
      <c r="B88" s="1">
        <v>45252</v>
      </c>
      <c r="C88" t="s">
        <v>100</v>
      </c>
      <c r="D88" t="s">
        <v>13</v>
      </c>
      <c r="E88">
        <v>28</v>
      </c>
      <c r="F88" t="str" cm="1">
        <f t="array" ref="F88">_xlfn.IFS(E88&lt;=35, "18-35", E88&lt;=50, "36-50", E88&lt;=65, "51-65", TRUE, "Over 65")</f>
        <v>18-35</v>
      </c>
      <c r="G88" t="s">
        <v>11</v>
      </c>
      <c r="H88">
        <v>2</v>
      </c>
      <c r="I88" s="2">
        <v>50</v>
      </c>
      <c r="J88" s="2">
        <v>100</v>
      </c>
    </row>
    <row r="89" spans="1:10" x14ac:dyDescent="0.35">
      <c r="A89">
        <v>88</v>
      </c>
      <c r="B89" s="1">
        <v>45014</v>
      </c>
      <c r="C89" t="s">
        <v>101</v>
      </c>
      <c r="D89" t="s">
        <v>10</v>
      </c>
      <c r="E89">
        <v>56</v>
      </c>
      <c r="F89" t="str" cm="1">
        <f t="array" ref="F89">_xlfn.IFS(E89&lt;=35, "18-35", E89&lt;=50, "36-50", E89&lt;=65, "51-65", TRUE, "Over 65")</f>
        <v>51-65</v>
      </c>
      <c r="G89" t="s">
        <v>14</v>
      </c>
      <c r="H89">
        <v>1</v>
      </c>
      <c r="I89" s="2">
        <v>500</v>
      </c>
      <c r="J89" s="2">
        <v>500</v>
      </c>
    </row>
    <row r="90" spans="1:10" x14ac:dyDescent="0.35">
      <c r="A90">
        <v>89</v>
      </c>
      <c r="B90" s="1">
        <v>45200</v>
      </c>
      <c r="C90" t="s">
        <v>102</v>
      </c>
      <c r="D90" t="s">
        <v>13</v>
      </c>
      <c r="E90">
        <v>55</v>
      </c>
      <c r="F90" t="str" cm="1">
        <f t="array" ref="F90">_xlfn.IFS(E90&lt;=35, "18-35", E90&lt;=50, "36-50", E90&lt;=65, "51-65", TRUE, "Over 65")</f>
        <v>51-65</v>
      </c>
      <c r="G90" t="s">
        <v>16</v>
      </c>
      <c r="H90">
        <v>4</v>
      </c>
      <c r="I90" s="2">
        <v>500</v>
      </c>
      <c r="J90" s="2">
        <v>2000</v>
      </c>
    </row>
    <row r="91" spans="1:10" x14ac:dyDescent="0.35">
      <c r="A91">
        <v>90</v>
      </c>
      <c r="B91" s="1">
        <v>45052</v>
      </c>
      <c r="C91" t="s">
        <v>103</v>
      </c>
      <c r="D91" t="s">
        <v>13</v>
      </c>
      <c r="E91">
        <v>51</v>
      </c>
      <c r="F91" t="str" cm="1">
        <f t="array" ref="F91">_xlfn.IFS(E91&lt;=35, "18-35", E91&lt;=50, "36-50", E91&lt;=65, "51-65", TRUE, "Over 65")</f>
        <v>51-65</v>
      </c>
      <c r="G91" t="s">
        <v>16</v>
      </c>
      <c r="H91">
        <v>1</v>
      </c>
      <c r="I91" s="2">
        <v>30</v>
      </c>
      <c r="J91" s="2">
        <v>30</v>
      </c>
    </row>
    <row r="92" spans="1:10" x14ac:dyDescent="0.35">
      <c r="A92">
        <v>91</v>
      </c>
      <c r="B92" s="1">
        <v>45010</v>
      </c>
      <c r="C92" t="s">
        <v>104</v>
      </c>
      <c r="D92" t="s">
        <v>13</v>
      </c>
      <c r="E92">
        <v>55</v>
      </c>
      <c r="F92" t="str" cm="1">
        <f t="array" ref="F92">_xlfn.IFS(E92&lt;=35, "18-35", E92&lt;=50, "36-50", E92&lt;=65, "51-65", TRUE, "Over 65")</f>
        <v>51-65</v>
      </c>
      <c r="G92" t="s">
        <v>16</v>
      </c>
      <c r="H92">
        <v>1</v>
      </c>
      <c r="I92" s="2">
        <v>500</v>
      </c>
      <c r="J92" s="2">
        <v>500</v>
      </c>
    </row>
    <row r="93" spans="1:10" x14ac:dyDescent="0.35">
      <c r="A93">
        <v>92</v>
      </c>
      <c r="B93" s="1">
        <v>45163</v>
      </c>
      <c r="C93" t="s">
        <v>105</v>
      </c>
      <c r="D93" t="s">
        <v>13</v>
      </c>
      <c r="E93">
        <v>51</v>
      </c>
      <c r="F93" t="str" cm="1">
        <f t="array" ref="F93">_xlfn.IFS(E93&lt;=35, "18-35", E93&lt;=50, "36-50", E93&lt;=65, "51-65", TRUE, "Over 65")</f>
        <v>51-65</v>
      </c>
      <c r="G93" t="s">
        <v>16</v>
      </c>
      <c r="H93">
        <v>4</v>
      </c>
      <c r="I93" s="2">
        <v>30</v>
      </c>
      <c r="J93" s="2">
        <v>120</v>
      </c>
    </row>
    <row r="94" spans="1:10" x14ac:dyDescent="0.35">
      <c r="A94">
        <v>93</v>
      </c>
      <c r="B94" s="1">
        <v>45121</v>
      </c>
      <c r="C94" t="s">
        <v>106</v>
      </c>
      <c r="D94" t="s">
        <v>13</v>
      </c>
      <c r="E94">
        <v>35</v>
      </c>
      <c r="F94" t="str" cm="1">
        <f t="array" ref="F94">_xlfn.IFS(E94&lt;=35, "18-35", E94&lt;=50, "36-50", E94&lt;=65, "51-65", TRUE, "Over 65")</f>
        <v>18-35</v>
      </c>
      <c r="G94" t="s">
        <v>11</v>
      </c>
      <c r="H94">
        <v>4</v>
      </c>
      <c r="I94" s="2">
        <v>500</v>
      </c>
      <c r="J94" s="2">
        <v>2000</v>
      </c>
    </row>
    <row r="95" spans="1:10" x14ac:dyDescent="0.35">
      <c r="A95">
        <v>94</v>
      </c>
      <c r="B95" s="1">
        <v>45065</v>
      </c>
      <c r="C95" t="s">
        <v>107</v>
      </c>
      <c r="D95" t="s">
        <v>13</v>
      </c>
      <c r="E95">
        <v>47</v>
      </c>
      <c r="F95" t="str" cm="1">
        <f t="array" ref="F95">_xlfn.IFS(E95&lt;=35, "18-35", E95&lt;=50, "36-50", E95&lt;=65, "51-65", TRUE, "Over 65")</f>
        <v>36-50</v>
      </c>
      <c r="G95" t="s">
        <v>11</v>
      </c>
      <c r="H95">
        <v>2</v>
      </c>
      <c r="I95" s="2">
        <v>500</v>
      </c>
      <c r="J95" s="2">
        <v>1000</v>
      </c>
    </row>
    <row r="96" spans="1:10" x14ac:dyDescent="0.35">
      <c r="A96">
        <v>95</v>
      </c>
      <c r="B96" s="1">
        <v>45254</v>
      </c>
      <c r="C96" t="s">
        <v>108</v>
      </c>
      <c r="D96" t="s">
        <v>13</v>
      </c>
      <c r="E96">
        <v>32</v>
      </c>
      <c r="F96" t="str" cm="1">
        <f t="array" ref="F96">_xlfn.IFS(E96&lt;=35, "18-35", E96&lt;=50, "36-50", E96&lt;=65, "51-65", TRUE, "Over 65")</f>
        <v>18-35</v>
      </c>
      <c r="G96" t="s">
        <v>14</v>
      </c>
      <c r="H96">
        <v>2</v>
      </c>
      <c r="I96" s="2">
        <v>30</v>
      </c>
      <c r="J96" s="2">
        <v>60</v>
      </c>
    </row>
    <row r="97" spans="1:10" x14ac:dyDescent="0.35">
      <c r="A97">
        <v>96</v>
      </c>
      <c r="B97" s="1">
        <v>45279</v>
      </c>
      <c r="C97" t="s">
        <v>109</v>
      </c>
      <c r="D97" t="s">
        <v>13</v>
      </c>
      <c r="E97">
        <v>44</v>
      </c>
      <c r="F97" t="str" cm="1">
        <f t="array" ref="F97">_xlfn.IFS(E97&lt;=35, "18-35", E97&lt;=50, "36-50", E97&lt;=65, "51-65", TRUE, "Over 65")</f>
        <v>36-50</v>
      </c>
      <c r="G97" t="s">
        <v>14</v>
      </c>
      <c r="H97">
        <v>2</v>
      </c>
      <c r="I97" s="2">
        <v>300</v>
      </c>
      <c r="J97" s="2">
        <v>600</v>
      </c>
    </row>
    <row r="98" spans="1:10" x14ac:dyDescent="0.35">
      <c r="A98">
        <v>97</v>
      </c>
      <c r="B98" s="1">
        <v>45212</v>
      </c>
      <c r="C98" t="s">
        <v>110</v>
      </c>
      <c r="D98" t="s">
        <v>13</v>
      </c>
      <c r="E98">
        <v>51</v>
      </c>
      <c r="F98" t="str" cm="1">
        <f t="array" ref="F98">_xlfn.IFS(E98&lt;=35, "18-35", E98&lt;=50, "36-50", E98&lt;=65, "51-65", TRUE, "Over 65")</f>
        <v>51-65</v>
      </c>
      <c r="G98" t="s">
        <v>11</v>
      </c>
      <c r="H98">
        <v>2</v>
      </c>
      <c r="I98" s="2">
        <v>500</v>
      </c>
      <c r="J98" s="2">
        <v>1000</v>
      </c>
    </row>
    <row r="99" spans="1:10" x14ac:dyDescent="0.35">
      <c r="A99">
        <v>98</v>
      </c>
      <c r="B99" s="1">
        <v>45039</v>
      </c>
      <c r="C99" t="s">
        <v>111</v>
      </c>
      <c r="D99" t="s">
        <v>13</v>
      </c>
      <c r="E99">
        <v>55</v>
      </c>
      <c r="F99" t="str" cm="1">
        <f t="array" ref="F99">_xlfn.IFS(E99&lt;=35, "18-35", E99&lt;=50, "36-50", E99&lt;=65, "51-65", TRUE, "Over 65")</f>
        <v>51-65</v>
      </c>
      <c r="G99" t="s">
        <v>11</v>
      </c>
      <c r="H99">
        <v>2</v>
      </c>
      <c r="I99" s="2">
        <v>50</v>
      </c>
      <c r="J99" s="2">
        <v>100</v>
      </c>
    </row>
    <row r="100" spans="1:10" x14ac:dyDescent="0.35">
      <c r="A100">
        <v>99</v>
      </c>
      <c r="B100" s="1">
        <v>45277</v>
      </c>
      <c r="C100" t="s">
        <v>112</v>
      </c>
      <c r="D100" t="s">
        <v>13</v>
      </c>
      <c r="E100">
        <v>50</v>
      </c>
      <c r="F100" t="str" cm="1">
        <f t="array" ref="F100">_xlfn.IFS(E100&lt;=35, "18-35", E100&lt;=50, "36-50", E100&lt;=65, "51-65", TRUE, "Over 65")</f>
        <v>36-50</v>
      </c>
      <c r="G100" t="s">
        <v>16</v>
      </c>
      <c r="H100">
        <v>4</v>
      </c>
      <c r="I100" s="2">
        <v>300</v>
      </c>
      <c r="J100" s="2">
        <v>1200</v>
      </c>
    </row>
    <row r="101" spans="1:10" x14ac:dyDescent="0.35">
      <c r="A101">
        <v>100</v>
      </c>
      <c r="B101" s="1">
        <v>45093</v>
      </c>
      <c r="C101" t="s">
        <v>113</v>
      </c>
      <c r="D101" t="s">
        <v>10</v>
      </c>
      <c r="E101">
        <v>41</v>
      </c>
      <c r="F101" t="str" cm="1">
        <f t="array" ref="F101">_xlfn.IFS(E101&lt;=35, "18-35", E101&lt;=50, "36-50", E101&lt;=65, "51-65", TRUE, "Over 65")</f>
        <v>36-50</v>
      </c>
      <c r="G101" t="s">
        <v>16</v>
      </c>
      <c r="H101">
        <v>1</v>
      </c>
      <c r="I101" s="2">
        <v>30</v>
      </c>
      <c r="J101" s="2">
        <v>30</v>
      </c>
    </row>
    <row r="102" spans="1:10" x14ac:dyDescent="0.35">
      <c r="A102">
        <v>101</v>
      </c>
      <c r="B102" s="1">
        <v>44955</v>
      </c>
      <c r="C102" t="s">
        <v>114</v>
      </c>
      <c r="D102" t="s">
        <v>10</v>
      </c>
      <c r="E102">
        <v>32</v>
      </c>
      <c r="F102" t="str" cm="1">
        <f t="array" ref="F102">_xlfn.IFS(E102&lt;=35, "18-35", E102&lt;=50, "36-50", E102&lt;=65, "51-65", TRUE, "Over 65")</f>
        <v>18-35</v>
      </c>
      <c r="G102" t="s">
        <v>14</v>
      </c>
      <c r="H102">
        <v>2</v>
      </c>
      <c r="I102" s="2">
        <v>300</v>
      </c>
      <c r="J102" s="2">
        <v>600</v>
      </c>
    </row>
    <row r="103" spans="1:10" x14ac:dyDescent="0.35">
      <c r="A103">
        <v>102</v>
      </c>
      <c r="B103" s="1">
        <v>45044</v>
      </c>
      <c r="C103" t="s">
        <v>115</v>
      </c>
      <c r="D103" t="s">
        <v>13</v>
      </c>
      <c r="E103">
        <v>47</v>
      </c>
      <c r="F103" t="str" cm="1">
        <f t="array" ref="F103">_xlfn.IFS(E103&lt;=35, "18-35", E103&lt;=50, "36-50", E103&lt;=65, "51-65", TRUE, "Over 65")</f>
        <v>36-50</v>
      </c>
      <c r="G103" t="s">
        <v>11</v>
      </c>
      <c r="H103">
        <v>2</v>
      </c>
      <c r="I103" s="2">
        <v>25</v>
      </c>
      <c r="J103" s="2">
        <v>50</v>
      </c>
    </row>
    <row r="104" spans="1:10" x14ac:dyDescent="0.35">
      <c r="A104">
        <v>103</v>
      </c>
      <c r="B104" s="1">
        <v>44943</v>
      </c>
      <c r="C104" t="s">
        <v>116</v>
      </c>
      <c r="D104" t="s">
        <v>13</v>
      </c>
      <c r="E104">
        <v>59</v>
      </c>
      <c r="F104" t="str" cm="1">
        <f t="array" ref="F104">_xlfn.IFS(E104&lt;=35, "18-35", E104&lt;=50, "36-50", E104&lt;=65, "51-65", TRUE, "Over 65")</f>
        <v>51-65</v>
      </c>
      <c r="G104" t="s">
        <v>14</v>
      </c>
      <c r="H104">
        <v>1</v>
      </c>
      <c r="I104" s="2">
        <v>25</v>
      </c>
      <c r="J104" s="2">
        <v>25</v>
      </c>
    </row>
    <row r="105" spans="1:10" x14ac:dyDescent="0.35">
      <c r="A105">
        <v>104</v>
      </c>
      <c r="B105" s="1">
        <v>45088</v>
      </c>
      <c r="C105" t="s">
        <v>117</v>
      </c>
      <c r="D105" t="s">
        <v>13</v>
      </c>
      <c r="E105">
        <v>34</v>
      </c>
      <c r="F105" t="str" cm="1">
        <f t="array" ref="F105">_xlfn.IFS(E105&lt;=35, "18-35", E105&lt;=50, "36-50", E105&lt;=65, "51-65", TRUE, "Over 65")</f>
        <v>18-35</v>
      </c>
      <c r="G105" t="s">
        <v>11</v>
      </c>
      <c r="H105">
        <v>2</v>
      </c>
      <c r="I105" s="2">
        <v>500</v>
      </c>
      <c r="J105" s="2">
        <v>1000</v>
      </c>
    </row>
    <row r="106" spans="1:10" x14ac:dyDescent="0.35">
      <c r="A106">
        <v>105</v>
      </c>
      <c r="B106" s="1">
        <v>45132</v>
      </c>
      <c r="C106" t="s">
        <v>118</v>
      </c>
      <c r="D106" t="s">
        <v>13</v>
      </c>
      <c r="E106">
        <v>22</v>
      </c>
      <c r="F106" t="str" cm="1">
        <f t="array" ref="F106">_xlfn.IFS(E106&lt;=35, "18-35", E106&lt;=50, "36-50", E106&lt;=65, "51-65", TRUE, "Over 65")</f>
        <v>18-35</v>
      </c>
      <c r="G106" t="s">
        <v>16</v>
      </c>
      <c r="H106">
        <v>1</v>
      </c>
      <c r="I106" s="2">
        <v>500</v>
      </c>
      <c r="J106" s="2">
        <v>500</v>
      </c>
    </row>
    <row r="107" spans="1:10" x14ac:dyDescent="0.35">
      <c r="A107">
        <v>106</v>
      </c>
      <c r="B107" s="1">
        <v>45064</v>
      </c>
      <c r="C107" t="s">
        <v>119</v>
      </c>
      <c r="D107" t="s">
        <v>13</v>
      </c>
      <c r="E107">
        <v>46</v>
      </c>
      <c r="F107" t="str" cm="1">
        <f t="array" ref="F107">_xlfn.IFS(E107&lt;=35, "18-35", E107&lt;=50, "36-50", E107&lt;=65, "51-65", TRUE, "Over 65")</f>
        <v>36-50</v>
      </c>
      <c r="G107" t="s">
        <v>14</v>
      </c>
      <c r="H107">
        <v>1</v>
      </c>
      <c r="I107" s="2">
        <v>50</v>
      </c>
      <c r="J107" s="2">
        <v>50</v>
      </c>
    </row>
    <row r="108" spans="1:10" x14ac:dyDescent="0.35">
      <c r="A108">
        <v>107</v>
      </c>
      <c r="B108" s="1">
        <v>44960</v>
      </c>
      <c r="C108" t="s">
        <v>120</v>
      </c>
      <c r="D108" t="s">
        <v>13</v>
      </c>
      <c r="E108">
        <v>21</v>
      </c>
      <c r="F108" t="str" cm="1">
        <f t="array" ref="F108">_xlfn.IFS(E108&lt;=35, "18-35", E108&lt;=50, "36-50", E108&lt;=65, "51-65", TRUE, "Over 65")</f>
        <v>18-35</v>
      </c>
      <c r="G108" t="s">
        <v>14</v>
      </c>
      <c r="H108">
        <v>4</v>
      </c>
      <c r="I108" s="2">
        <v>300</v>
      </c>
      <c r="J108" s="2">
        <v>1200</v>
      </c>
    </row>
    <row r="109" spans="1:10" x14ac:dyDescent="0.35">
      <c r="A109">
        <v>108</v>
      </c>
      <c r="B109" s="1">
        <v>45035</v>
      </c>
      <c r="C109" t="s">
        <v>121</v>
      </c>
      <c r="D109" t="s">
        <v>13</v>
      </c>
      <c r="E109">
        <v>27</v>
      </c>
      <c r="F109" t="str" cm="1">
        <f t="array" ref="F109">_xlfn.IFS(E109&lt;=35, "18-35", E109&lt;=50, "36-50", E109&lt;=65, "51-65", TRUE, "Over 65")</f>
        <v>18-35</v>
      </c>
      <c r="G109" t="s">
        <v>11</v>
      </c>
      <c r="H109">
        <v>3</v>
      </c>
      <c r="I109" s="2">
        <v>25</v>
      </c>
      <c r="J109" s="2">
        <v>75</v>
      </c>
    </row>
    <row r="110" spans="1:10" x14ac:dyDescent="0.35">
      <c r="A110">
        <v>109</v>
      </c>
      <c r="B110" s="1">
        <v>45217</v>
      </c>
      <c r="C110" t="s">
        <v>122</v>
      </c>
      <c r="D110" t="s">
        <v>13</v>
      </c>
      <c r="E110">
        <v>34</v>
      </c>
      <c r="F110" t="str" cm="1">
        <f t="array" ref="F110">_xlfn.IFS(E110&lt;=35, "18-35", E110&lt;=50, "36-50", E110&lt;=65, "51-65", TRUE, "Over 65")</f>
        <v>18-35</v>
      </c>
      <c r="G110" t="s">
        <v>16</v>
      </c>
      <c r="H110">
        <v>4</v>
      </c>
      <c r="I110" s="2">
        <v>500</v>
      </c>
      <c r="J110" s="2">
        <v>2000</v>
      </c>
    </row>
    <row r="111" spans="1:10" x14ac:dyDescent="0.35">
      <c r="A111">
        <v>110</v>
      </c>
      <c r="B111" s="1">
        <v>45088</v>
      </c>
      <c r="C111" t="s">
        <v>123</v>
      </c>
      <c r="D111" t="s">
        <v>10</v>
      </c>
      <c r="E111">
        <v>27</v>
      </c>
      <c r="F111" t="str" cm="1">
        <f t="array" ref="F111">_xlfn.IFS(E111&lt;=35, "18-35", E111&lt;=50, "36-50", E111&lt;=65, "51-65", TRUE, "Over 65")</f>
        <v>18-35</v>
      </c>
      <c r="G111" t="s">
        <v>14</v>
      </c>
      <c r="H111">
        <v>3</v>
      </c>
      <c r="I111" s="2">
        <v>300</v>
      </c>
      <c r="J111" s="2">
        <v>900</v>
      </c>
    </row>
    <row r="112" spans="1:10" x14ac:dyDescent="0.35">
      <c r="A112">
        <v>111</v>
      </c>
      <c r="B112" s="1">
        <v>45035</v>
      </c>
      <c r="C112" t="s">
        <v>124</v>
      </c>
      <c r="D112" t="s">
        <v>13</v>
      </c>
      <c r="E112">
        <v>34</v>
      </c>
      <c r="F112" t="str" cm="1">
        <f t="array" ref="F112">_xlfn.IFS(E112&lt;=35, "18-35", E112&lt;=50, "36-50", E112&lt;=65, "51-65", TRUE, "Over 65")</f>
        <v>18-35</v>
      </c>
      <c r="G112" t="s">
        <v>16</v>
      </c>
      <c r="H112">
        <v>3</v>
      </c>
      <c r="I112" s="2">
        <v>500</v>
      </c>
      <c r="J112" s="2">
        <v>1500</v>
      </c>
    </row>
    <row r="113" spans="1:10" x14ac:dyDescent="0.35">
      <c r="A113">
        <v>112</v>
      </c>
      <c r="B113" s="1">
        <v>45262</v>
      </c>
      <c r="C113" t="s">
        <v>125</v>
      </c>
      <c r="D113" t="s">
        <v>10</v>
      </c>
      <c r="E113">
        <v>37</v>
      </c>
      <c r="F113" t="str" cm="1">
        <f t="array" ref="F113">_xlfn.IFS(E113&lt;=35, "18-35", E113&lt;=50, "36-50", E113&lt;=65, "51-65", TRUE, "Over 65")</f>
        <v>36-50</v>
      </c>
      <c r="G113" t="s">
        <v>14</v>
      </c>
      <c r="H113">
        <v>3</v>
      </c>
      <c r="I113" s="2">
        <v>500</v>
      </c>
      <c r="J113" s="2">
        <v>1500</v>
      </c>
    </row>
    <row r="114" spans="1:10" x14ac:dyDescent="0.35">
      <c r="A114">
        <v>113</v>
      </c>
      <c r="B114" s="1">
        <v>45182</v>
      </c>
      <c r="C114" t="s">
        <v>126</v>
      </c>
      <c r="D114" t="s">
        <v>13</v>
      </c>
      <c r="E114">
        <v>41</v>
      </c>
      <c r="F114" t="str" cm="1">
        <f t="array" ref="F114">_xlfn.IFS(E114&lt;=35, "18-35", E114&lt;=50, "36-50", E114&lt;=65, "51-65", TRUE, "Over 65")</f>
        <v>36-50</v>
      </c>
      <c r="G114" t="s">
        <v>16</v>
      </c>
      <c r="H114">
        <v>2</v>
      </c>
      <c r="I114" s="2">
        <v>25</v>
      </c>
      <c r="J114" s="2">
        <v>50</v>
      </c>
    </row>
    <row r="115" spans="1:10" x14ac:dyDescent="0.35">
      <c r="A115">
        <v>114</v>
      </c>
      <c r="B115" s="1">
        <v>45129</v>
      </c>
      <c r="C115" t="s">
        <v>127</v>
      </c>
      <c r="D115" t="s">
        <v>13</v>
      </c>
      <c r="E115">
        <v>22</v>
      </c>
      <c r="F115" t="str" cm="1">
        <f t="array" ref="F115">_xlfn.IFS(E115&lt;=35, "18-35", E115&lt;=50, "36-50", E115&lt;=65, "51-65", TRUE, "Over 65")</f>
        <v>18-35</v>
      </c>
      <c r="G115" t="s">
        <v>11</v>
      </c>
      <c r="H115">
        <v>4</v>
      </c>
      <c r="I115" s="2">
        <v>25</v>
      </c>
      <c r="J115" s="2">
        <v>100</v>
      </c>
    </row>
    <row r="116" spans="1:10" x14ac:dyDescent="0.35">
      <c r="A116">
        <v>115</v>
      </c>
      <c r="B116" s="1">
        <v>45256</v>
      </c>
      <c r="C116" t="s">
        <v>128</v>
      </c>
      <c r="D116" t="s">
        <v>10</v>
      </c>
      <c r="E116">
        <v>51</v>
      </c>
      <c r="F116" t="str" cm="1">
        <f t="array" ref="F116">_xlfn.IFS(E116&lt;=35, "18-35", E116&lt;=50, "36-50", E116&lt;=65, "51-65", TRUE, "Over 65")</f>
        <v>51-65</v>
      </c>
      <c r="G116" t="s">
        <v>14</v>
      </c>
      <c r="H116">
        <v>3</v>
      </c>
      <c r="I116" s="2">
        <v>500</v>
      </c>
      <c r="J116" s="2">
        <v>1500</v>
      </c>
    </row>
    <row r="117" spans="1:10" x14ac:dyDescent="0.35">
      <c r="A117">
        <v>116</v>
      </c>
      <c r="B117" s="1">
        <v>45161</v>
      </c>
      <c r="C117" t="s">
        <v>129</v>
      </c>
      <c r="D117" t="s">
        <v>13</v>
      </c>
      <c r="E117">
        <v>23</v>
      </c>
      <c r="F117" t="str" cm="1">
        <f t="array" ref="F117">_xlfn.IFS(E117&lt;=35, "18-35", E117&lt;=50, "36-50", E117&lt;=65, "51-65", TRUE, "Over 65")</f>
        <v>18-35</v>
      </c>
      <c r="G117" t="s">
        <v>14</v>
      </c>
      <c r="H117">
        <v>1</v>
      </c>
      <c r="I117" s="2">
        <v>30</v>
      </c>
      <c r="J117" s="2">
        <v>30</v>
      </c>
    </row>
    <row r="118" spans="1:10" x14ac:dyDescent="0.35">
      <c r="A118">
        <v>117</v>
      </c>
      <c r="B118" s="1">
        <v>45000</v>
      </c>
      <c r="C118" t="s">
        <v>130</v>
      </c>
      <c r="D118" t="s">
        <v>10</v>
      </c>
      <c r="E118">
        <v>19</v>
      </c>
      <c r="F118" t="str" cm="1">
        <f t="array" ref="F118">_xlfn.IFS(E118&lt;=35, "18-35", E118&lt;=50, "36-50", E118&lt;=65, "51-65", TRUE, "Over 65")</f>
        <v>18-35</v>
      </c>
      <c r="G118" t="s">
        <v>16</v>
      </c>
      <c r="H118">
        <v>2</v>
      </c>
      <c r="I118" s="2">
        <v>500</v>
      </c>
      <c r="J118" s="2">
        <v>1000</v>
      </c>
    </row>
    <row r="119" spans="1:10" x14ac:dyDescent="0.35">
      <c r="A119">
        <v>118</v>
      </c>
      <c r="B119" s="1">
        <v>45062</v>
      </c>
      <c r="C119" t="s">
        <v>131</v>
      </c>
      <c r="D119" t="s">
        <v>13</v>
      </c>
      <c r="E119">
        <v>30</v>
      </c>
      <c r="F119" t="str" cm="1">
        <f t="array" ref="F119">_xlfn.IFS(E119&lt;=35, "18-35", E119&lt;=50, "36-50", E119&lt;=65, "51-65", TRUE, "Over 65")</f>
        <v>18-35</v>
      </c>
      <c r="G119" t="s">
        <v>16</v>
      </c>
      <c r="H119">
        <v>4</v>
      </c>
      <c r="I119" s="2">
        <v>500</v>
      </c>
      <c r="J119" s="2">
        <v>2000</v>
      </c>
    </row>
    <row r="120" spans="1:10" x14ac:dyDescent="0.35">
      <c r="A120">
        <v>119</v>
      </c>
      <c r="B120" s="1">
        <v>44998</v>
      </c>
      <c r="C120" t="s">
        <v>132</v>
      </c>
      <c r="D120" t="s">
        <v>13</v>
      </c>
      <c r="E120">
        <v>60</v>
      </c>
      <c r="F120" t="str" cm="1">
        <f t="array" ref="F120">_xlfn.IFS(E120&lt;=35, "18-35", E120&lt;=50, "36-50", E120&lt;=65, "51-65", TRUE, "Over 65")</f>
        <v>51-65</v>
      </c>
      <c r="G120" t="s">
        <v>14</v>
      </c>
      <c r="H120">
        <v>3</v>
      </c>
      <c r="I120" s="2">
        <v>50</v>
      </c>
      <c r="J120" s="2">
        <v>150</v>
      </c>
    </row>
    <row r="121" spans="1:10" x14ac:dyDescent="0.35">
      <c r="A121">
        <v>120</v>
      </c>
      <c r="B121" s="1">
        <v>45053</v>
      </c>
      <c r="C121" t="s">
        <v>133</v>
      </c>
      <c r="D121" t="s">
        <v>10</v>
      </c>
      <c r="E121">
        <v>60</v>
      </c>
      <c r="F121" t="str" cm="1">
        <f t="array" ref="F121">_xlfn.IFS(E121&lt;=35, "18-35", E121&lt;=50, "36-50", E121&lt;=65, "51-65", TRUE, "Over 65")</f>
        <v>51-65</v>
      </c>
      <c r="G121" t="s">
        <v>11</v>
      </c>
      <c r="H121">
        <v>1</v>
      </c>
      <c r="I121" s="2">
        <v>50</v>
      </c>
      <c r="J121" s="2">
        <v>50</v>
      </c>
    </row>
    <row r="122" spans="1:10" x14ac:dyDescent="0.35">
      <c r="A122">
        <v>121</v>
      </c>
      <c r="B122" s="1">
        <v>45214</v>
      </c>
      <c r="C122" t="s">
        <v>134</v>
      </c>
      <c r="D122" t="s">
        <v>13</v>
      </c>
      <c r="E122">
        <v>28</v>
      </c>
      <c r="F122" t="str" cm="1">
        <f t="array" ref="F122">_xlfn.IFS(E122&lt;=35, "18-35", E122&lt;=50, "36-50", E122&lt;=65, "51-65", TRUE, "Over 65")</f>
        <v>18-35</v>
      </c>
      <c r="G122" t="s">
        <v>16</v>
      </c>
      <c r="H122">
        <v>4</v>
      </c>
      <c r="I122" s="2">
        <v>50</v>
      </c>
      <c r="J122" s="2">
        <v>200</v>
      </c>
    </row>
    <row r="123" spans="1:10" x14ac:dyDescent="0.35">
      <c r="A123">
        <v>122</v>
      </c>
      <c r="B123" s="1">
        <v>45202</v>
      </c>
      <c r="C123" t="s">
        <v>135</v>
      </c>
      <c r="D123" t="s">
        <v>10</v>
      </c>
      <c r="E123">
        <v>64</v>
      </c>
      <c r="F123" t="str" cm="1">
        <f t="array" ref="F123">_xlfn.IFS(E123&lt;=35, "18-35", E123&lt;=50, "36-50", E123&lt;=65, "51-65", TRUE, "Over 65")</f>
        <v>51-65</v>
      </c>
      <c r="G123" t="s">
        <v>16</v>
      </c>
      <c r="H123">
        <v>4</v>
      </c>
      <c r="I123" s="2">
        <v>30</v>
      </c>
      <c r="J123" s="2">
        <v>120</v>
      </c>
    </row>
    <row r="124" spans="1:10" x14ac:dyDescent="0.35">
      <c r="A124">
        <v>123</v>
      </c>
      <c r="B124" s="1">
        <v>45061</v>
      </c>
      <c r="C124" t="s">
        <v>136</v>
      </c>
      <c r="D124" t="s">
        <v>13</v>
      </c>
      <c r="E124">
        <v>40</v>
      </c>
      <c r="F124" t="str" cm="1">
        <f t="array" ref="F124">_xlfn.IFS(E124&lt;=35, "18-35", E124&lt;=50, "36-50", E124&lt;=65, "51-65", TRUE, "Over 65")</f>
        <v>36-50</v>
      </c>
      <c r="G124" t="s">
        <v>16</v>
      </c>
      <c r="H124">
        <v>2</v>
      </c>
      <c r="I124" s="2">
        <v>30</v>
      </c>
      <c r="J124" s="2">
        <v>60</v>
      </c>
    </row>
    <row r="125" spans="1:10" x14ac:dyDescent="0.35">
      <c r="A125">
        <v>124</v>
      </c>
      <c r="B125" s="1">
        <v>45226</v>
      </c>
      <c r="C125" t="s">
        <v>137</v>
      </c>
      <c r="D125" t="s">
        <v>10</v>
      </c>
      <c r="E125">
        <v>33</v>
      </c>
      <c r="F125" t="str" cm="1">
        <f t="array" ref="F125">_xlfn.IFS(E125&lt;=35, "18-35", E125&lt;=50, "36-50", E125&lt;=65, "51-65", TRUE, "Over 65")</f>
        <v>18-35</v>
      </c>
      <c r="G125" t="s">
        <v>14</v>
      </c>
      <c r="H125">
        <v>4</v>
      </c>
      <c r="I125" s="2">
        <v>500</v>
      </c>
      <c r="J125" s="2">
        <v>2000</v>
      </c>
    </row>
    <row r="126" spans="1:10" x14ac:dyDescent="0.35">
      <c r="A126">
        <v>125</v>
      </c>
      <c r="B126" s="1">
        <v>45146</v>
      </c>
      <c r="C126" t="s">
        <v>138</v>
      </c>
      <c r="D126" t="s">
        <v>10</v>
      </c>
      <c r="E126">
        <v>48</v>
      </c>
      <c r="F126" t="str" cm="1">
        <f t="array" ref="F126">_xlfn.IFS(E126&lt;=35, "18-35", E126&lt;=50, "36-50", E126&lt;=65, "51-65", TRUE, "Over 65")</f>
        <v>36-50</v>
      </c>
      <c r="G126" t="s">
        <v>14</v>
      </c>
      <c r="H126">
        <v>2</v>
      </c>
      <c r="I126" s="2">
        <v>50</v>
      </c>
      <c r="J126" s="2">
        <v>100</v>
      </c>
    </row>
    <row r="127" spans="1:10" x14ac:dyDescent="0.35">
      <c r="A127">
        <v>126</v>
      </c>
      <c r="B127" s="1">
        <v>45225</v>
      </c>
      <c r="C127" t="s">
        <v>139</v>
      </c>
      <c r="D127" t="s">
        <v>13</v>
      </c>
      <c r="E127">
        <v>28</v>
      </c>
      <c r="F127" t="str" cm="1">
        <f t="array" ref="F127">_xlfn.IFS(E127&lt;=35, "18-35", E127&lt;=50, "36-50", E127&lt;=65, "51-65", TRUE, "Over 65")</f>
        <v>18-35</v>
      </c>
      <c r="G127" t="s">
        <v>14</v>
      </c>
      <c r="H127">
        <v>3</v>
      </c>
      <c r="I127" s="2">
        <v>30</v>
      </c>
      <c r="J127" s="2">
        <v>90</v>
      </c>
    </row>
    <row r="128" spans="1:10" x14ac:dyDescent="0.35">
      <c r="A128">
        <v>127</v>
      </c>
      <c r="B128" s="1">
        <v>45131</v>
      </c>
      <c r="C128" t="s">
        <v>140</v>
      </c>
      <c r="D128" t="s">
        <v>13</v>
      </c>
      <c r="E128">
        <v>33</v>
      </c>
      <c r="F128" t="str" cm="1">
        <f t="array" ref="F128">_xlfn.IFS(E128&lt;=35, "18-35", E128&lt;=50, "36-50", E128&lt;=65, "51-65", TRUE, "Over 65")</f>
        <v>18-35</v>
      </c>
      <c r="G128" t="s">
        <v>14</v>
      </c>
      <c r="H128">
        <v>2</v>
      </c>
      <c r="I128" s="2">
        <v>25</v>
      </c>
      <c r="J128" s="2">
        <v>50</v>
      </c>
    </row>
    <row r="129" spans="1:10" x14ac:dyDescent="0.35">
      <c r="A129">
        <v>128</v>
      </c>
      <c r="B129" s="1">
        <v>45112</v>
      </c>
      <c r="C129" t="s">
        <v>141</v>
      </c>
      <c r="D129" t="s">
        <v>10</v>
      </c>
      <c r="E129">
        <v>25</v>
      </c>
      <c r="F129" t="str" cm="1">
        <f t="array" ref="F129">_xlfn.IFS(E129&lt;=35, "18-35", E129&lt;=50, "36-50", E129&lt;=65, "51-65", TRUE, "Over 65")</f>
        <v>18-35</v>
      </c>
      <c r="G129" t="s">
        <v>11</v>
      </c>
      <c r="H129">
        <v>1</v>
      </c>
      <c r="I129" s="2">
        <v>500</v>
      </c>
      <c r="J129" s="2">
        <v>500</v>
      </c>
    </row>
    <row r="130" spans="1:10" x14ac:dyDescent="0.35">
      <c r="A130">
        <v>129</v>
      </c>
      <c r="B130" s="1">
        <v>45039</v>
      </c>
      <c r="C130" t="s">
        <v>142</v>
      </c>
      <c r="D130" t="s">
        <v>13</v>
      </c>
      <c r="E130">
        <v>21</v>
      </c>
      <c r="F130" t="str" cm="1">
        <f t="array" ref="F130">_xlfn.IFS(E130&lt;=35, "18-35", E130&lt;=50, "36-50", E130&lt;=65, "51-65", TRUE, "Over 65")</f>
        <v>18-35</v>
      </c>
      <c r="G130" t="s">
        <v>11</v>
      </c>
      <c r="H130">
        <v>2</v>
      </c>
      <c r="I130" s="2">
        <v>300</v>
      </c>
      <c r="J130" s="2">
        <v>600</v>
      </c>
    </row>
    <row r="131" spans="1:10" x14ac:dyDescent="0.35">
      <c r="A131">
        <v>130</v>
      </c>
      <c r="B131" s="1">
        <v>44997</v>
      </c>
      <c r="C131" t="s">
        <v>143</v>
      </c>
      <c r="D131" t="s">
        <v>13</v>
      </c>
      <c r="E131">
        <v>57</v>
      </c>
      <c r="F131" t="str" cm="1">
        <f t="array" ref="F131">_xlfn.IFS(E131&lt;=35, "18-35", E131&lt;=50, "36-50", E131&lt;=65, "51-65", TRUE, "Over 65")</f>
        <v>51-65</v>
      </c>
      <c r="G131" t="s">
        <v>14</v>
      </c>
      <c r="H131">
        <v>1</v>
      </c>
      <c r="I131" s="2">
        <v>500</v>
      </c>
      <c r="J131" s="2">
        <v>500</v>
      </c>
    </row>
    <row r="132" spans="1:10" x14ac:dyDescent="0.35">
      <c r="A132">
        <v>131</v>
      </c>
      <c r="B132" s="1">
        <v>45187</v>
      </c>
      <c r="C132" t="s">
        <v>144</v>
      </c>
      <c r="D132" t="s">
        <v>13</v>
      </c>
      <c r="E132">
        <v>21</v>
      </c>
      <c r="F132" t="str" cm="1">
        <f t="array" ref="F132">_xlfn.IFS(E132&lt;=35, "18-35", E132&lt;=50, "36-50", E132&lt;=65, "51-65", TRUE, "Over 65")</f>
        <v>18-35</v>
      </c>
      <c r="G132" t="s">
        <v>11</v>
      </c>
      <c r="H132">
        <v>2</v>
      </c>
      <c r="I132" s="2">
        <v>300</v>
      </c>
      <c r="J132" s="2">
        <v>600</v>
      </c>
    </row>
    <row r="133" spans="1:10" x14ac:dyDescent="0.35">
      <c r="A133">
        <v>132</v>
      </c>
      <c r="B133" s="1">
        <v>45179</v>
      </c>
      <c r="C133" t="s">
        <v>145</v>
      </c>
      <c r="D133" t="s">
        <v>10</v>
      </c>
      <c r="E133">
        <v>42</v>
      </c>
      <c r="F133" t="str" cm="1">
        <f t="array" ref="F133">_xlfn.IFS(E133&lt;=35, "18-35", E133&lt;=50, "36-50", E133&lt;=65, "51-65", TRUE, "Over 65")</f>
        <v>36-50</v>
      </c>
      <c r="G133" t="s">
        <v>16</v>
      </c>
      <c r="H133">
        <v>4</v>
      </c>
      <c r="I133" s="2">
        <v>50</v>
      </c>
      <c r="J133" s="2">
        <v>200</v>
      </c>
    </row>
    <row r="134" spans="1:10" x14ac:dyDescent="0.35">
      <c r="A134">
        <v>133</v>
      </c>
      <c r="B134" s="1">
        <v>44973</v>
      </c>
      <c r="C134" t="s">
        <v>146</v>
      </c>
      <c r="D134" t="s">
        <v>10</v>
      </c>
      <c r="E134">
        <v>20</v>
      </c>
      <c r="F134" t="str" cm="1">
        <f t="array" ref="F134">_xlfn.IFS(E134&lt;=35, "18-35", E134&lt;=50, "36-50", E134&lt;=65, "51-65", TRUE, "Over 65")</f>
        <v>18-35</v>
      </c>
      <c r="G134" t="s">
        <v>16</v>
      </c>
      <c r="H134">
        <v>3</v>
      </c>
      <c r="I134" s="2">
        <v>300</v>
      </c>
      <c r="J134" s="2">
        <v>900</v>
      </c>
    </row>
    <row r="135" spans="1:10" x14ac:dyDescent="0.35">
      <c r="A135">
        <v>134</v>
      </c>
      <c r="B135" s="1">
        <v>44951</v>
      </c>
      <c r="C135" t="s">
        <v>147</v>
      </c>
      <c r="D135" t="s">
        <v>10</v>
      </c>
      <c r="E135">
        <v>49</v>
      </c>
      <c r="F135" t="str" cm="1">
        <f t="array" ref="F135">_xlfn.IFS(E135&lt;=35, "18-35", E135&lt;=50, "36-50", E135&lt;=65, "51-65", TRUE, "Over 65")</f>
        <v>36-50</v>
      </c>
      <c r="G135" t="s">
        <v>16</v>
      </c>
      <c r="H135">
        <v>1</v>
      </c>
      <c r="I135" s="2">
        <v>50</v>
      </c>
      <c r="J135" s="2">
        <v>50</v>
      </c>
    </row>
    <row r="136" spans="1:10" x14ac:dyDescent="0.35">
      <c r="A136">
        <v>135</v>
      </c>
      <c r="B136" s="1">
        <v>44983</v>
      </c>
      <c r="C136" t="s">
        <v>148</v>
      </c>
      <c r="D136" t="s">
        <v>10</v>
      </c>
      <c r="E136">
        <v>20</v>
      </c>
      <c r="F136" t="str" cm="1">
        <f t="array" ref="F136">_xlfn.IFS(E136&lt;=35, "18-35", E136&lt;=50, "36-50", E136&lt;=65, "51-65", TRUE, "Over 65")</f>
        <v>18-35</v>
      </c>
      <c r="G136" t="s">
        <v>14</v>
      </c>
      <c r="H136">
        <v>2</v>
      </c>
      <c r="I136" s="2">
        <v>25</v>
      </c>
      <c r="J136" s="2">
        <v>50</v>
      </c>
    </row>
    <row r="137" spans="1:10" x14ac:dyDescent="0.35">
      <c r="A137">
        <v>136</v>
      </c>
      <c r="B137" s="1">
        <v>45005</v>
      </c>
      <c r="C137" t="s">
        <v>149</v>
      </c>
      <c r="D137" t="s">
        <v>10</v>
      </c>
      <c r="E137">
        <v>44</v>
      </c>
      <c r="F137" t="str" cm="1">
        <f t="array" ref="F137">_xlfn.IFS(E137&lt;=35, "18-35", E137&lt;=50, "36-50", E137&lt;=65, "51-65", TRUE, "Over 65")</f>
        <v>36-50</v>
      </c>
      <c r="G137" t="s">
        <v>16</v>
      </c>
      <c r="H137">
        <v>2</v>
      </c>
      <c r="I137" s="2">
        <v>300</v>
      </c>
      <c r="J137" s="2">
        <v>600</v>
      </c>
    </row>
    <row r="138" spans="1:10" x14ac:dyDescent="0.35">
      <c r="A138">
        <v>137</v>
      </c>
      <c r="B138" s="1">
        <v>45248</v>
      </c>
      <c r="C138" t="s">
        <v>150</v>
      </c>
      <c r="D138" t="s">
        <v>10</v>
      </c>
      <c r="E138">
        <v>46</v>
      </c>
      <c r="F138" t="str" cm="1">
        <f t="array" ref="F138">_xlfn.IFS(E138&lt;=35, "18-35", E138&lt;=50, "36-50", E138&lt;=65, "51-65", TRUE, "Over 65")</f>
        <v>36-50</v>
      </c>
      <c r="G138" t="s">
        <v>11</v>
      </c>
      <c r="H138">
        <v>2</v>
      </c>
      <c r="I138" s="2">
        <v>500</v>
      </c>
      <c r="J138" s="2">
        <v>1000</v>
      </c>
    </row>
    <row r="139" spans="1:10" x14ac:dyDescent="0.35">
      <c r="A139">
        <v>138</v>
      </c>
      <c r="B139" s="1">
        <v>45008</v>
      </c>
      <c r="C139" t="s">
        <v>151</v>
      </c>
      <c r="D139" t="s">
        <v>10</v>
      </c>
      <c r="E139">
        <v>49</v>
      </c>
      <c r="F139" t="str" cm="1">
        <f t="array" ref="F139">_xlfn.IFS(E139&lt;=35, "18-35", E139&lt;=50, "36-50", E139&lt;=65, "51-65", TRUE, "Over 65")</f>
        <v>36-50</v>
      </c>
      <c r="G139" t="s">
        <v>14</v>
      </c>
      <c r="H139">
        <v>4</v>
      </c>
      <c r="I139" s="2">
        <v>50</v>
      </c>
      <c r="J139" s="2">
        <v>200</v>
      </c>
    </row>
    <row r="140" spans="1:10" x14ac:dyDescent="0.35">
      <c r="A140">
        <v>139</v>
      </c>
      <c r="B140" s="1">
        <v>45275</v>
      </c>
      <c r="C140" t="s">
        <v>152</v>
      </c>
      <c r="D140" t="s">
        <v>10</v>
      </c>
      <c r="E140">
        <v>36</v>
      </c>
      <c r="F140" t="str" cm="1">
        <f t="array" ref="F140">_xlfn.IFS(E140&lt;=35, "18-35", E140&lt;=50, "36-50", E140&lt;=65, "51-65", TRUE, "Over 65")</f>
        <v>36-50</v>
      </c>
      <c r="G140" t="s">
        <v>11</v>
      </c>
      <c r="H140">
        <v>4</v>
      </c>
      <c r="I140" s="2">
        <v>500</v>
      </c>
      <c r="J140" s="2">
        <v>2000</v>
      </c>
    </row>
    <row r="141" spans="1:10" x14ac:dyDescent="0.35">
      <c r="A141">
        <v>140</v>
      </c>
      <c r="B141" s="1">
        <v>45143</v>
      </c>
      <c r="C141" t="s">
        <v>153</v>
      </c>
      <c r="D141" t="s">
        <v>10</v>
      </c>
      <c r="E141">
        <v>38</v>
      </c>
      <c r="F141" t="str" cm="1">
        <f t="array" ref="F141">_xlfn.IFS(E141&lt;=35, "18-35", E141&lt;=50, "36-50", E141&lt;=65, "51-65", TRUE, "Over 65")</f>
        <v>36-50</v>
      </c>
      <c r="G141" t="s">
        <v>16</v>
      </c>
      <c r="H141">
        <v>1</v>
      </c>
      <c r="I141" s="2">
        <v>30</v>
      </c>
      <c r="J141" s="2">
        <v>30</v>
      </c>
    </row>
    <row r="142" spans="1:10" x14ac:dyDescent="0.35">
      <c r="A142">
        <v>141</v>
      </c>
      <c r="B142" s="1">
        <v>45232</v>
      </c>
      <c r="C142" t="s">
        <v>154</v>
      </c>
      <c r="D142" t="s">
        <v>13</v>
      </c>
      <c r="E142">
        <v>22</v>
      </c>
      <c r="F142" t="str" cm="1">
        <f t="array" ref="F142">_xlfn.IFS(E142&lt;=35, "18-35", E142&lt;=50, "36-50", E142&lt;=65, "51-65", TRUE, "Over 65")</f>
        <v>18-35</v>
      </c>
      <c r="G142" t="s">
        <v>16</v>
      </c>
      <c r="H142">
        <v>1</v>
      </c>
      <c r="I142" s="2">
        <v>50</v>
      </c>
      <c r="J142" s="2">
        <v>50</v>
      </c>
    </row>
    <row r="143" spans="1:10" x14ac:dyDescent="0.35">
      <c r="A143">
        <v>142</v>
      </c>
      <c r="B143" s="1">
        <v>44959</v>
      </c>
      <c r="C143" t="s">
        <v>155</v>
      </c>
      <c r="D143" t="s">
        <v>10</v>
      </c>
      <c r="E143">
        <v>35</v>
      </c>
      <c r="F143" t="str" cm="1">
        <f t="array" ref="F143">_xlfn.IFS(E143&lt;=35, "18-35", E143&lt;=50, "36-50", E143&lt;=65, "51-65", TRUE, "Over 65")</f>
        <v>18-35</v>
      </c>
      <c r="G143" t="s">
        <v>16</v>
      </c>
      <c r="H143">
        <v>4</v>
      </c>
      <c r="I143" s="2">
        <v>300</v>
      </c>
      <c r="J143" s="2">
        <v>1200</v>
      </c>
    </row>
    <row r="144" spans="1:10" x14ac:dyDescent="0.35">
      <c r="A144">
        <v>143</v>
      </c>
      <c r="B144" s="1">
        <v>45124</v>
      </c>
      <c r="C144" t="s">
        <v>156</v>
      </c>
      <c r="D144" t="s">
        <v>13</v>
      </c>
      <c r="E144">
        <v>45</v>
      </c>
      <c r="F144" t="str" cm="1">
        <f t="array" ref="F144">_xlfn.IFS(E144&lt;=35, "18-35", E144&lt;=50, "36-50", E144&lt;=65, "51-65", TRUE, "Over 65")</f>
        <v>36-50</v>
      </c>
      <c r="G144" t="s">
        <v>14</v>
      </c>
      <c r="H144">
        <v>1</v>
      </c>
      <c r="I144" s="2">
        <v>50</v>
      </c>
      <c r="J144" s="2">
        <v>50</v>
      </c>
    </row>
    <row r="145" spans="1:10" x14ac:dyDescent="0.35">
      <c r="A145">
        <v>144</v>
      </c>
      <c r="B145" s="1">
        <v>45122</v>
      </c>
      <c r="C145" t="s">
        <v>157</v>
      </c>
      <c r="D145" t="s">
        <v>13</v>
      </c>
      <c r="E145">
        <v>59</v>
      </c>
      <c r="F145" t="str" cm="1">
        <f t="array" ref="F145">_xlfn.IFS(E145&lt;=35, "18-35", E145&lt;=50, "36-50", E145&lt;=65, "51-65", TRUE, "Over 65")</f>
        <v>51-65</v>
      </c>
      <c r="G145" t="s">
        <v>11</v>
      </c>
      <c r="H145">
        <v>3</v>
      </c>
      <c r="I145" s="2">
        <v>500</v>
      </c>
      <c r="J145" s="2">
        <v>1500</v>
      </c>
    </row>
    <row r="146" spans="1:10" x14ac:dyDescent="0.35">
      <c r="A146">
        <v>145</v>
      </c>
      <c r="B146" s="1">
        <v>45232</v>
      </c>
      <c r="C146" t="s">
        <v>158</v>
      </c>
      <c r="D146" t="s">
        <v>13</v>
      </c>
      <c r="E146">
        <v>39</v>
      </c>
      <c r="F146" t="str" cm="1">
        <f t="array" ref="F146">_xlfn.IFS(E146&lt;=35, "18-35", E146&lt;=50, "36-50", E146&lt;=65, "51-65", TRUE, "Over 65")</f>
        <v>36-50</v>
      </c>
      <c r="G146" t="s">
        <v>14</v>
      </c>
      <c r="H146">
        <v>3</v>
      </c>
      <c r="I146" s="2">
        <v>25</v>
      </c>
      <c r="J146" s="2">
        <v>75</v>
      </c>
    </row>
    <row r="147" spans="1:10" x14ac:dyDescent="0.35">
      <c r="A147">
        <v>146</v>
      </c>
      <c r="B147" s="1">
        <v>45166</v>
      </c>
      <c r="C147" t="s">
        <v>159</v>
      </c>
      <c r="D147" t="s">
        <v>10</v>
      </c>
      <c r="E147">
        <v>38</v>
      </c>
      <c r="F147" t="str" cm="1">
        <f t="array" ref="F147">_xlfn.IFS(E147&lt;=35, "18-35", E147&lt;=50, "36-50", E147&lt;=65, "51-65", TRUE, "Over 65")</f>
        <v>36-50</v>
      </c>
      <c r="G147" t="s">
        <v>14</v>
      </c>
      <c r="H147">
        <v>4</v>
      </c>
      <c r="I147" s="2">
        <v>50</v>
      </c>
      <c r="J147" s="2">
        <v>200</v>
      </c>
    </row>
    <row r="148" spans="1:10" x14ac:dyDescent="0.35">
      <c r="A148">
        <v>147</v>
      </c>
      <c r="B148" s="1">
        <v>45197</v>
      </c>
      <c r="C148" t="s">
        <v>160</v>
      </c>
      <c r="D148" t="s">
        <v>10</v>
      </c>
      <c r="E148">
        <v>23</v>
      </c>
      <c r="F148" t="str" cm="1">
        <f t="array" ref="F148">_xlfn.IFS(E148&lt;=35, "18-35", E148&lt;=50, "36-50", E148&lt;=65, "51-65", TRUE, "Over 65")</f>
        <v>18-35</v>
      </c>
      <c r="G148" t="s">
        <v>16</v>
      </c>
      <c r="H148">
        <v>1</v>
      </c>
      <c r="I148" s="2">
        <v>300</v>
      </c>
      <c r="J148" s="2">
        <v>300</v>
      </c>
    </row>
    <row r="149" spans="1:10" x14ac:dyDescent="0.35">
      <c r="A149">
        <v>148</v>
      </c>
      <c r="B149" s="1">
        <v>45055</v>
      </c>
      <c r="C149" t="s">
        <v>161</v>
      </c>
      <c r="D149" t="s">
        <v>10</v>
      </c>
      <c r="E149">
        <v>18</v>
      </c>
      <c r="F149" t="str" cm="1">
        <f t="array" ref="F149">_xlfn.IFS(E149&lt;=35, "18-35", E149&lt;=50, "36-50", E149&lt;=65, "51-65", TRUE, "Over 65")</f>
        <v>18-35</v>
      </c>
      <c r="G149" t="s">
        <v>14</v>
      </c>
      <c r="H149">
        <v>2</v>
      </c>
      <c r="I149" s="2">
        <v>30</v>
      </c>
      <c r="J149" s="2">
        <v>60</v>
      </c>
    </row>
    <row r="150" spans="1:10" x14ac:dyDescent="0.35">
      <c r="A150">
        <v>149</v>
      </c>
      <c r="B150" s="1">
        <v>45210</v>
      </c>
      <c r="C150" t="s">
        <v>162</v>
      </c>
      <c r="D150" t="s">
        <v>10</v>
      </c>
      <c r="E150">
        <v>22</v>
      </c>
      <c r="F150" t="str" cm="1">
        <f t="array" ref="F150">_xlfn.IFS(E150&lt;=35, "18-35", E150&lt;=50, "36-50", E150&lt;=65, "51-65", TRUE, "Over 65")</f>
        <v>18-35</v>
      </c>
      <c r="G150" t="s">
        <v>14</v>
      </c>
      <c r="H150">
        <v>3</v>
      </c>
      <c r="I150" s="2">
        <v>25</v>
      </c>
      <c r="J150" s="2">
        <v>75</v>
      </c>
    </row>
    <row r="151" spans="1:10" x14ac:dyDescent="0.35">
      <c r="A151">
        <v>150</v>
      </c>
      <c r="B151" s="1">
        <v>44932</v>
      </c>
      <c r="C151" t="s">
        <v>163</v>
      </c>
      <c r="D151" t="s">
        <v>13</v>
      </c>
      <c r="E151">
        <v>58</v>
      </c>
      <c r="F151" t="str" cm="1">
        <f t="array" ref="F151">_xlfn.IFS(E151&lt;=35, "18-35", E151&lt;=50, "36-50", E151&lt;=65, "51-65", TRUE, "Over 65")</f>
        <v>51-65</v>
      </c>
      <c r="G151" t="s">
        <v>16</v>
      </c>
      <c r="H151">
        <v>4</v>
      </c>
      <c r="I151" s="2">
        <v>30</v>
      </c>
      <c r="J151" s="2">
        <v>120</v>
      </c>
    </row>
    <row r="152" spans="1:10" x14ac:dyDescent="0.35">
      <c r="A152">
        <v>151</v>
      </c>
      <c r="B152" s="1">
        <v>45275</v>
      </c>
      <c r="C152" t="s">
        <v>164</v>
      </c>
      <c r="D152" t="s">
        <v>10</v>
      </c>
      <c r="E152">
        <v>29</v>
      </c>
      <c r="F152" t="str" cm="1">
        <f t="array" ref="F152">_xlfn.IFS(E152&lt;=35, "18-35", E152&lt;=50, "36-50", E152&lt;=65, "51-65", TRUE, "Over 65")</f>
        <v>18-35</v>
      </c>
      <c r="G152" t="s">
        <v>14</v>
      </c>
      <c r="H152">
        <v>1</v>
      </c>
      <c r="I152" s="2">
        <v>50</v>
      </c>
      <c r="J152" s="2">
        <v>50</v>
      </c>
    </row>
    <row r="153" spans="1:10" x14ac:dyDescent="0.35">
      <c r="A153">
        <v>152</v>
      </c>
      <c r="B153" s="1">
        <v>44985</v>
      </c>
      <c r="C153" t="s">
        <v>165</v>
      </c>
      <c r="D153" t="s">
        <v>10</v>
      </c>
      <c r="E153">
        <v>43</v>
      </c>
      <c r="F153" t="str" cm="1">
        <f t="array" ref="F153">_xlfn.IFS(E153&lt;=35, "18-35", E153&lt;=50, "36-50", E153&lt;=65, "51-65", TRUE, "Over 65")</f>
        <v>36-50</v>
      </c>
      <c r="G153" t="s">
        <v>16</v>
      </c>
      <c r="H153">
        <v>4</v>
      </c>
      <c r="I153" s="2">
        <v>500</v>
      </c>
      <c r="J153" s="2">
        <v>2000</v>
      </c>
    </row>
    <row r="154" spans="1:10" x14ac:dyDescent="0.35">
      <c r="A154">
        <v>153</v>
      </c>
      <c r="B154" s="1">
        <v>45276</v>
      </c>
      <c r="C154" t="s">
        <v>166</v>
      </c>
      <c r="D154" t="s">
        <v>10</v>
      </c>
      <c r="E154">
        <v>63</v>
      </c>
      <c r="F154" t="str" cm="1">
        <f t="array" ref="F154">_xlfn.IFS(E154&lt;=35, "18-35", E154&lt;=50, "36-50", E154&lt;=65, "51-65", TRUE, "Over 65")</f>
        <v>51-65</v>
      </c>
      <c r="G154" t="s">
        <v>16</v>
      </c>
      <c r="H154">
        <v>2</v>
      </c>
      <c r="I154" s="2">
        <v>500</v>
      </c>
      <c r="J154" s="2">
        <v>1000</v>
      </c>
    </row>
    <row r="155" spans="1:10" x14ac:dyDescent="0.35">
      <c r="A155">
        <v>154</v>
      </c>
      <c r="B155" s="1">
        <v>45201</v>
      </c>
      <c r="C155" t="s">
        <v>167</v>
      </c>
      <c r="D155" t="s">
        <v>10</v>
      </c>
      <c r="E155">
        <v>51</v>
      </c>
      <c r="F155" t="str" cm="1">
        <f t="array" ref="F155">_xlfn.IFS(E155&lt;=35, "18-35", E155&lt;=50, "36-50", E155&lt;=65, "51-65", TRUE, "Over 65")</f>
        <v>51-65</v>
      </c>
      <c r="G155" t="s">
        <v>16</v>
      </c>
      <c r="H155">
        <v>3</v>
      </c>
      <c r="I155" s="2">
        <v>300</v>
      </c>
      <c r="J155" s="2">
        <v>900</v>
      </c>
    </row>
    <row r="156" spans="1:10" x14ac:dyDescent="0.35">
      <c r="A156">
        <v>155</v>
      </c>
      <c r="B156" s="1">
        <v>45063</v>
      </c>
      <c r="C156" t="s">
        <v>168</v>
      </c>
      <c r="D156" t="s">
        <v>10</v>
      </c>
      <c r="E156">
        <v>31</v>
      </c>
      <c r="F156" t="str" cm="1">
        <f t="array" ref="F156">_xlfn.IFS(E156&lt;=35, "18-35", E156&lt;=50, "36-50", E156&lt;=65, "51-65", TRUE, "Over 65")</f>
        <v>18-35</v>
      </c>
      <c r="G156" t="s">
        <v>16</v>
      </c>
      <c r="H156">
        <v>4</v>
      </c>
      <c r="I156" s="2">
        <v>500</v>
      </c>
      <c r="J156" s="2">
        <v>2000</v>
      </c>
    </row>
    <row r="157" spans="1:10" x14ac:dyDescent="0.35">
      <c r="A157">
        <v>156</v>
      </c>
      <c r="B157" s="1">
        <v>45255</v>
      </c>
      <c r="C157" t="s">
        <v>169</v>
      </c>
      <c r="D157" t="s">
        <v>13</v>
      </c>
      <c r="E157">
        <v>43</v>
      </c>
      <c r="F157" t="str" cm="1">
        <f t="array" ref="F157">_xlfn.IFS(E157&lt;=35, "18-35", E157&lt;=50, "36-50", E157&lt;=65, "51-65", TRUE, "Over 65")</f>
        <v>36-50</v>
      </c>
      <c r="G157" t="s">
        <v>14</v>
      </c>
      <c r="H157">
        <v>4</v>
      </c>
      <c r="I157" s="2">
        <v>25</v>
      </c>
      <c r="J157" s="2">
        <v>100</v>
      </c>
    </row>
    <row r="158" spans="1:10" x14ac:dyDescent="0.35">
      <c r="A158">
        <v>157</v>
      </c>
      <c r="B158" s="1">
        <v>45101</v>
      </c>
      <c r="C158" t="s">
        <v>170</v>
      </c>
      <c r="D158" t="s">
        <v>10</v>
      </c>
      <c r="E158">
        <v>62</v>
      </c>
      <c r="F158" t="str" cm="1">
        <f t="array" ref="F158">_xlfn.IFS(E158&lt;=35, "18-35", E158&lt;=50, "36-50", E158&lt;=65, "51-65", TRUE, "Over 65")</f>
        <v>51-65</v>
      </c>
      <c r="G158" t="s">
        <v>16</v>
      </c>
      <c r="H158">
        <v>4</v>
      </c>
      <c r="I158" s="2">
        <v>500</v>
      </c>
      <c r="J158" s="2">
        <v>2000</v>
      </c>
    </row>
    <row r="159" spans="1:10" x14ac:dyDescent="0.35">
      <c r="A159">
        <v>158</v>
      </c>
      <c r="B159" s="1">
        <v>44984</v>
      </c>
      <c r="C159" t="s">
        <v>171</v>
      </c>
      <c r="D159" t="s">
        <v>13</v>
      </c>
      <c r="E159">
        <v>44</v>
      </c>
      <c r="F159" t="str" cm="1">
        <f t="array" ref="F159">_xlfn.IFS(E159&lt;=35, "18-35", E159&lt;=50, "36-50", E159&lt;=65, "51-65", TRUE, "Over 65")</f>
        <v>36-50</v>
      </c>
      <c r="G159" t="s">
        <v>16</v>
      </c>
      <c r="H159">
        <v>2</v>
      </c>
      <c r="I159" s="2">
        <v>300</v>
      </c>
      <c r="J159" s="2">
        <v>600</v>
      </c>
    </row>
    <row r="160" spans="1:10" x14ac:dyDescent="0.35">
      <c r="A160">
        <v>159</v>
      </c>
      <c r="B160" s="1">
        <v>45077</v>
      </c>
      <c r="C160" t="s">
        <v>172</v>
      </c>
      <c r="D160" t="s">
        <v>10</v>
      </c>
      <c r="E160">
        <v>26</v>
      </c>
      <c r="F160" t="str" cm="1">
        <f t="array" ref="F160">_xlfn.IFS(E160&lt;=35, "18-35", E160&lt;=50, "36-50", E160&lt;=65, "51-65", TRUE, "Over 65")</f>
        <v>18-35</v>
      </c>
      <c r="G160" t="s">
        <v>14</v>
      </c>
      <c r="H160">
        <v>4</v>
      </c>
      <c r="I160" s="2">
        <v>50</v>
      </c>
      <c r="J160" s="2">
        <v>200</v>
      </c>
    </row>
    <row r="161" spans="1:10" x14ac:dyDescent="0.35">
      <c r="A161">
        <v>160</v>
      </c>
      <c r="B161" s="1">
        <v>45149</v>
      </c>
      <c r="C161" t="s">
        <v>173</v>
      </c>
      <c r="D161" t="s">
        <v>13</v>
      </c>
      <c r="E161">
        <v>43</v>
      </c>
      <c r="F161" t="str" cm="1">
        <f t="array" ref="F161">_xlfn.IFS(E161&lt;=35, "18-35", E161&lt;=50, "36-50", E161&lt;=65, "51-65", TRUE, "Over 65")</f>
        <v>36-50</v>
      </c>
      <c r="G161" t="s">
        <v>14</v>
      </c>
      <c r="H161">
        <v>2</v>
      </c>
      <c r="I161" s="2">
        <v>50</v>
      </c>
      <c r="J161" s="2">
        <v>100</v>
      </c>
    </row>
    <row r="162" spans="1:10" x14ac:dyDescent="0.35">
      <c r="A162">
        <v>161</v>
      </c>
      <c r="B162" s="1">
        <v>45007</v>
      </c>
      <c r="C162" t="s">
        <v>174</v>
      </c>
      <c r="D162" t="s">
        <v>10</v>
      </c>
      <c r="E162">
        <v>64</v>
      </c>
      <c r="F162" t="str" cm="1">
        <f t="array" ref="F162">_xlfn.IFS(E162&lt;=35, "18-35", E162&lt;=50, "36-50", E162&lt;=65, "51-65", TRUE, "Over 65")</f>
        <v>51-65</v>
      </c>
      <c r="G162" t="s">
        <v>11</v>
      </c>
      <c r="H162">
        <v>2</v>
      </c>
      <c r="I162" s="2">
        <v>500</v>
      </c>
      <c r="J162" s="2">
        <v>1000</v>
      </c>
    </row>
    <row r="163" spans="1:10" x14ac:dyDescent="0.35">
      <c r="A163">
        <v>162</v>
      </c>
      <c r="B163" s="1">
        <v>45159</v>
      </c>
      <c r="C163" t="s">
        <v>175</v>
      </c>
      <c r="D163" t="s">
        <v>10</v>
      </c>
      <c r="E163">
        <v>39</v>
      </c>
      <c r="F163" t="str" cm="1">
        <f t="array" ref="F163">_xlfn.IFS(E163&lt;=35, "18-35", E163&lt;=50, "36-50", E163&lt;=65, "51-65", TRUE, "Over 65")</f>
        <v>36-50</v>
      </c>
      <c r="G163" t="s">
        <v>14</v>
      </c>
      <c r="H163">
        <v>2</v>
      </c>
      <c r="I163" s="2">
        <v>30</v>
      </c>
      <c r="J163" s="2">
        <v>60</v>
      </c>
    </row>
    <row r="164" spans="1:10" x14ac:dyDescent="0.35">
      <c r="A164">
        <v>163</v>
      </c>
      <c r="B164" s="1">
        <v>44928</v>
      </c>
      <c r="C164" t="s">
        <v>176</v>
      </c>
      <c r="D164" t="s">
        <v>13</v>
      </c>
      <c r="E164">
        <v>64</v>
      </c>
      <c r="F164" t="str" cm="1">
        <f t="array" ref="F164">_xlfn.IFS(E164&lt;=35, "18-35", E164&lt;=50, "36-50", E164&lt;=65, "51-65", TRUE, "Over 65")</f>
        <v>51-65</v>
      </c>
      <c r="G164" t="s">
        <v>14</v>
      </c>
      <c r="H164">
        <v>3</v>
      </c>
      <c r="I164" s="2">
        <v>50</v>
      </c>
      <c r="J164" s="2">
        <v>150</v>
      </c>
    </row>
    <row r="165" spans="1:10" x14ac:dyDescent="0.35">
      <c r="A165">
        <v>164</v>
      </c>
      <c r="B165" s="1">
        <v>45061</v>
      </c>
      <c r="C165" t="s">
        <v>177</v>
      </c>
      <c r="D165" t="s">
        <v>13</v>
      </c>
      <c r="E165">
        <v>47</v>
      </c>
      <c r="F165" t="str" cm="1">
        <f t="array" ref="F165">_xlfn.IFS(E165&lt;=35, "18-35", E165&lt;=50, "36-50", E165&lt;=65, "51-65", TRUE, "Over 65")</f>
        <v>36-50</v>
      </c>
      <c r="G165" t="s">
        <v>11</v>
      </c>
      <c r="H165">
        <v>3</v>
      </c>
      <c r="I165" s="2">
        <v>500</v>
      </c>
      <c r="J165" s="2">
        <v>1500</v>
      </c>
    </row>
    <row r="166" spans="1:10" x14ac:dyDescent="0.35">
      <c r="A166">
        <v>165</v>
      </c>
      <c r="B166" s="1">
        <v>45183</v>
      </c>
      <c r="C166" t="s">
        <v>178</v>
      </c>
      <c r="D166" t="s">
        <v>13</v>
      </c>
      <c r="E166">
        <v>60</v>
      </c>
      <c r="F166" t="str" cm="1">
        <f t="array" ref="F166">_xlfn.IFS(E166&lt;=35, "18-35", E166&lt;=50, "36-50", E166&lt;=65, "51-65", TRUE, "Over 65")</f>
        <v>51-65</v>
      </c>
      <c r="G166" t="s">
        <v>14</v>
      </c>
      <c r="H166">
        <v>4</v>
      </c>
      <c r="I166" s="2">
        <v>300</v>
      </c>
      <c r="J166" s="2">
        <v>1200</v>
      </c>
    </row>
    <row r="167" spans="1:10" x14ac:dyDescent="0.35">
      <c r="A167">
        <v>166</v>
      </c>
      <c r="B167" s="1">
        <v>45018</v>
      </c>
      <c r="C167" t="s">
        <v>179</v>
      </c>
      <c r="D167" t="s">
        <v>10</v>
      </c>
      <c r="E167">
        <v>34</v>
      </c>
      <c r="F167" t="str" cm="1">
        <f t="array" ref="F167">_xlfn.IFS(E167&lt;=35, "18-35", E167&lt;=50, "36-50", E167&lt;=65, "51-65", TRUE, "Over 65")</f>
        <v>18-35</v>
      </c>
      <c r="G167" t="s">
        <v>14</v>
      </c>
      <c r="H167">
        <v>4</v>
      </c>
      <c r="I167" s="2">
        <v>500</v>
      </c>
      <c r="J167" s="2">
        <v>2000</v>
      </c>
    </row>
    <row r="168" spans="1:10" x14ac:dyDescent="0.35">
      <c r="A168">
        <v>167</v>
      </c>
      <c r="B168" s="1">
        <v>45186</v>
      </c>
      <c r="C168" t="s">
        <v>180</v>
      </c>
      <c r="D168" t="s">
        <v>13</v>
      </c>
      <c r="E168">
        <v>43</v>
      </c>
      <c r="F168" t="str" cm="1">
        <f t="array" ref="F168">_xlfn.IFS(E168&lt;=35, "18-35", E168&lt;=50, "36-50", E168&lt;=65, "51-65", TRUE, "Over 65")</f>
        <v>36-50</v>
      </c>
      <c r="G168" t="s">
        <v>14</v>
      </c>
      <c r="H168">
        <v>3</v>
      </c>
      <c r="I168" s="2">
        <v>50</v>
      </c>
      <c r="J168" s="2">
        <v>150</v>
      </c>
    </row>
    <row r="169" spans="1:10" x14ac:dyDescent="0.35">
      <c r="A169">
        <v>168</v>
      </c>
      <c r="B169" s="1">
        <v>44981</v>
      </c>
      <c r="C169" t="s">
        <v>181</v>
      </c>
      <c r="D169" t="s">
        <v>10</v>
      </c>
      <c r="E169">
        <v>53</v>
      </c>
      <c r="F169" t="str" cm="1">
        <f t="array" ref="F169">_xlfn.IFS(E169&lt;=35, "18-35", E169&lt;=50, "36-50", E169&lt;=65, "51-65", TRUE, "Over 65")</f>
        <v>51-65</v>
      </c>
      <c r="G169" t="s">
        <v>14</v>
      </c>
      <c r="H169">
        <v>1</v>
      </c>
      <c r="I169" s="2">
        <v>300</v>
      </c>
      <c r="J169" s="2">
        <v>300</v>
      </c>
    </row>
    <row r="170" spans="1:10" x14ac:dyDescent="0.35">
      <c r="A170">
        <v>169</v>
      </c>
      <c r="B170" s="1">
        <v>45247</v>
      </c>
      <c r="C170" t="s">
        <v>182</v>
      </c>
      <c r="D170" t="s">
        <v>10</v>
      </c>
      <c r="E170">
        <v>18</v>
      </c>
      <c r="F170" t="str" cm="1">
        <f t="array" ref="F170">_xlfn.IFS(E170&lt;=35, "18-35", E170&lt;=50, "36-50", E170&lt;=65, "51-65", TRUE, "Over 65")</f>
        <v>18-35</v>
      </c>
      <c r="G170" t="s">
        <v>11</v>
      </c>
      <c r="H170">
        <v>3</v>
      </c>
      <c r="I170" s="2">
        <v>500</v>
      </c>
      <c r="J170" s="2">
        <v>1500</v>
      </c>
    </row>
    <row r="171" spans="1:10" x14ac:dyDescent="0.35">
      <c r="A171">
        <v>170</v>
      </c>
      <c r="B171" s="1">
        <v>45079</v>
      </c>
      <c r="C171" t="s">
        <v>183</v>
      </c>
      <c r="D171" t="s">
        <v>13</v>
      </c>
      <c r="E171">
        <v>25</v>
      </c>
      <c r="F171" t="str" cm="1">
        <f t="array" ref="F171">_xlfn.IFS(E171&lt;=35, "18-35", E171&lt;=50, "36-50", E171&lt;=65, "51-65", TRUE, "Over 65")</f>
        <v>18-35</v>
      </c>
      <c r="G171" t="s">
        <v>14</v>
      </c>
      <c r="H171">
        <v>2</v>
      </c>
      <c r="I171" s="2">
        <v>25</v>
      </c>
      <c r="J171" s="2">
        <v>50</v>
      </c>
    </row>
    <row r="172" spans="1:10" x14ac:dyDescent="0.35">
      <c r="A172">
        <v>171</v>
      </c>
      <c r="B172" s="1">
        <v>45254</v>
      </c>
      <c r="C172" t="s">
        <v>184</v>
      </c>
      <c r="D172" t="s">
        <v>13</v>
      </c>
      <c r="E172">
        <v>52</v>
      </c>
      <c r="F172" t="str" cm="1">
        <f t="array" ref="F172">_xlfn.IFS(E172&lt;=35, "18-35", E172&lt;=50, "36-50", E172&lt;=65, "51-65", TRUE, "Over 65")</f>
        <v>51-65</v>
      </c>
      <c r="G172" t="s">
        <v>14</v>
      </c>
      <c r="H172">
        <v>3</v>
      </c>
      <c r="I172" s="2">
        <v>300</v>
      </c>
      <c r="J172" s="2">
        <v>900</v>
      </c>
    </row>
    <row r="173" spans="1:10" x14ac:dyDescent="0.35">
      <c r="A173">
        <v>172</v>
      </c>
      <c r="B173" s="1">
        <v>45186</v>
      </c>
      <c r="C173" t="s">
        <v>185</v>
      </c>
      <c r="D173" t="s">
        <v>10</v>
      </c>
      <c r="E173">
        <v>32</v>
      </c>
      <c r="F173" t="str" cm="1">
        <f t="array" ref="F173">_xlfn.IFS(E173&lt;=35, "18-35", E173&lt;=50, "36-50", E173&lt;=65, "51-65", TRUE, "Over 65")</f>
        <v>18-35</v>
      </c>
      <c r="G173" t="s">
        <v>11</v>
      </c>
      <c r="H173">
        <v>2</v>
      </c>
      <c r="I173" s="2">
        <v>25</v>
      </c>
      <c r="J173" s="2">
        <v>50</v>
      </c>
    </row>
    <row r="174" spans="1:10" x14ac:dyDescent="0.35">
      <c r="A174">
        <v>173</v>
      </c>
      <c r="B174" s="1">
        <v>45238</v>
      </c>
      <c r="C174" t="s">
        <v>186</v>
      </c>
      <c r="D174" t="s">
        <v>10</v>
      </c>
      <c r="E174">
        <v>64</v>
      </c>
      <c r="F174" t="str" cm="1">
        <f t="array" ref="F174">_xlfn.IFS(E174&lt;=35, "18-35", E174&lt;=50, "36-50", E174&lt;=65, "51-65", TRUE, "Over 65")</f>
        <v>51-65</v>
      </c>
      <c r="G174" t="s">
        <v>16</v>
      </c>
      <c r="H174">
        <v>4</v>
      </c>
      <c r="I174" s="2">
        <v>30</v>
      </c>
      <c r="J174" s="2">
        <v>120</v>
      </c>
    </row>
    <row r="175" spans="1:10" x14ac:dyDescent="0.35">
      <c r="A175">
        <v>174</v>
      </c>
      <c r="B175" s="1">
        <v>45028</v>
      </c>
      <c r="C175" t="s">
        <v>187</v>
      </c>
      <c r="D175" t="s">
        <v>13</v>
      </c>
      <c r="E175">
        <v>39</v>
      </c>
      <c r="F175" t="str" cm="1">
        <f t="array" ref="F175">_xlfn.IFS(E175&lt;=35, "18-35", E175&lt;=50, "36-50", E175&lt;=65, "51-65", TRUE, "Over 65")</f>
        <v>36-50</v>
      </c>
      <c r="G175" t="s">
        <v>11</v>
      </c>
      <c r="H175">
        <v>1</v>
      </c>
      <c r="I175" s="2">
        <v>300</v>
      </c>
      <c r="J175" s="2">
        <v>300</v>
      </c>
    </row>
    <row r="176" spans="1:10" x14ac:dyDescent="0.35">
      <c r="A176">
        <v>175</v>
      </c>
      <c r="B176" s="1">
        <v>45005</v>
      </c>
      <c r="C176" t="s">
        <v>188</v>
      </c>
      <c r="D176" t="s">
        <v>13</v>
      </c>
      <c r="E176">
        <v>31</v>
      </c>
      <c r="F176" t="str" cm="1">
        <f t="array" ref="F176">_xlfn.IFS(E176&lt;=35, "18-35", E176&lt;=50, "36-50", E176&lt;=65, "51-65", TRUE, "Over 65")</f>
        <v>18-35</v>
      </c>
      <c r="G176" t="s">
        <v>16</v>
      </c>
      <c r="H176">
        <v>4</v>
      </c>
      <c r="I176" s="2">
        <v>25</v>
      </c>
      <c r="J176" s="2">
        <v>100</v>
      </c>
    </row>
    <row r="177" spans="1:10" x14ac:dyDescent="0.35">
      <c r="A177">
        <v>176</v>
      </c>
      <c r="B177" s="1">
        <v>45118</v>
      </c>
      <c r="C177" t="s">
        <v>189</v>
      </c>
      <c r="D177" t="s">
        <v>13</v>
      </c>
      <c r="E177">
        <v>43</v>
      </c>
      <c r="F177" t="str" cm="1">
        <f t="array" ref="F177">_xlfn.IFS(E177&lt;=35, "18-35", E177&lt;=50, "36-50", E177&lt;=65, "51-65", TRUE, "Over 65")</f>
        <v>36-50</v>
      </c>
      <c r="G177" t="s">
        <v>11</v>
      </c>
      <c r="H177">
        <v>2</v>
      </c>
      <c r="I177" s="2">
        <v>50</v>
      </c>
      <c r="J177" s="2">
        <v>100</v>
      </c>
    </row>
    <row r="178" spans="1:10" x14ac:dyDescent="0.35">
      <c r="A178">
        <v>177</v>
      </c>
      <c r="B178" s="1">
        <v>45009</v>
      </c>
      <c r="C178" t="s">
        <v>190</v>
      </c>
      <c r="D178" t="s">
        <v>10</v>
      </c>
      <c r="E178">
        <v>45</v>
      </c>
      <c r="F178" t="str" cm="1">
        <f t="array" ref="F178">_xlfn.IFS(E178&lt;=35, "18-35", E178&lt;=50, "36-50", E178&lt;=65, "51-65", TRUE, "Over 65")</f>
        <v>36-50</v>
      </c>
      <c r="G178" t="s">
        <v>11</v>
      </c>
      <c r="H178">
        <v>2</v>
      </c>
      <c r="I178" s="2">
        <v>50</v>
      </c>
      <c r="J178" s="2">
        <v>100</v>
      </c>
    </row>
    <row r="179" spans="1:10" x14ac:dyDescent="0.35">
      <c r="A179">
        <v>178</v>
      </c>
      <c r="B179" s="1">
        <v>45203</v>
      </c>
      <c r="C179" t="s">
        <v>191</v>
      </c>
      <c r="D179" t="s">
        <v>10</v>
      </c>
      <c r="E179">
        <v>40</v>
      </c>
      <c r="F179" t="str" cm="1">
        <f t="array" ref="F179">_xlfn.IFS(E179&lt;=35, "18-35", E179&lt;=50, "36-50", E179&lt;=65, "51-65", TRUE, "Over 65")</f>
        <v>36-50</v>
      </c>
      <c r="G179" t="s">
        <v>14</v>
      </c>
      <c r="H179">
        <v>2</v>
      </c>
      <c r="I179" s="2">
        <v>30</v>
      </c>
      <c r="J179" s="2">
        <v>60</v>
      </c>
    </row>
    <row r="180" spans="1:10" x14ac:dyDescent="0.35">
      <c r="A180">
        <v>179</v>
      </c>
      <c r="B180" s="1">
        <v>45198</v>
      </c>
      <c r="C180" t="s">
        <v>192</v>
      </c>
      <c r="D180" t="s">
        <v>10</v>
      </c>
      <c r="E180">
        <v>31</v>
      </c>
      <c r="F180" t="str" cm="1">
        <f t="array" ref="F180">_xlfn.IFS(E180&lt;=35, "18-35", E180&lt;=50, "36-50", E180&lt;=65, "51-65", TRUE, "Over 65")</f>
        <v>18-35</v>
      </c>
      <c r="G180" t="s">
        <v>16</v>
      </c>
      <c r="H180">
        <v>1</v>
      </c>
      <c r="I180" s="2">
        <v>300</v>
      </c>
      <c r="J180" s="2">
        <v>300</v>
      </c>
    </row>
    <row r="181" spans="1:10" x14ac:dyDescent="0.35">
      <c r="A181">
        <v>180</v>
      </c>
      <c r="B181" s="1">
        <v>44927</v>
      </c>
      <c r="C181" t="s">
        <v>193</v>
      </c>
      <c r="D181" t="s">
        <v>10</v>
      </c>
      <c r="E181">
        <v>41</v>
      </c>
      <c r="F181" t="str" cm="1">
        <f t="array" ref="F181">_xlfn.IFS(E181&lt;=35, "18-35", E181&lt;=50, "36-50", E181&lt;=65, "51-65", TRUE, "Over 65")</f>
        <v>36-50</v>
      </c>
      <c r="G181" t="s">
        <v>14</v>
      </c>
      <c r="H181">
        <v>3</v>
      </c>
      <c r="I181" s="2">
        <v>300</v>
      </c>
      <c r="J181" s="2">
        <v>900</v>
      </c>
    </row>
    <row r="182" spans="1:10" x14ac:dyDescent="0.35">
      <c r="A182">
        <v>181</v>
      </c>
      <c r="B182" s="1">
        <v>45233</v>
      </c>
      <c r="C182" t="s">
        <v>194</v>
      </c>
      <c r="D182" t="s">
        <v>10</v>
      </c>
      <c r="E182">
        <v>19</v>
      </c>
      <c r="F182" t="str" cm="1">
        <f t="array" ref="F182">_xlfn.IFS(E182&lt;=35, "18-35", E182&lt;=50, "36-50", E182&lt;=65, "51-65", TRUE, "Over 65")</f>
        <v>18-35</v>
      </c>
      <c r="G182" t="s">
        <v>16</v>
      </c>
      <c r="H182">
        <v>4</v>
      </c>
      <c r="I182" s="2">
        <v>300</v>
      </c>
      <c r="J182" s="2">
        <v>1200</v>
      </c>
    </row>
    <row r="183" spans="1:10" x14ac:dyDescent="0.35">
      <c r="A183">
        <v>182</v>
      </c>
      <c r="B183" s="1">
        <v>45092</v>
      </c>
      <c r="C183" t="s">
        <v>195</v>
      </c>
      <c r="D183" t="s">
        <v>10</v>
      </c>
      <c r="E183">
        <v>62</v>
      </c>
      <c r="F183" t="str" cm="1">
        <f t="array" ref="F183">_xlfn.IFS(E183&lt;=35, "18-35", E183&lt;=50, "36-50", E183&lt;=65, "51-65", TRUE, "Over 65")</f>
        <v>51-65</v>
      </c>
      <c r="G183" t="s">
        <v>11</v>
      </c>
      <c r="H183">
        <v>4</v>
      </c>
      <c r="I183" s="2">
        <v>30</v>
      </c>
      <c r="J183" s="2">
        <v>120</v>
      </c>
    </row>
    <row r="184" spans="1:10" x14ac:dyDescent="0.35">
      <c r="A184">
        <v>183</v>
      </c>
      <c r="B184" s="1">
        <v>45177</v>
      </c>
      <c r="C184" t="s">
        <v>196</v>
      </c>
      <c r="D184" t="s">
        <v>13</v>
      </c>
      <c r="E184">
        <v>43</v>
      </c>
      <c r="F184" t="str" cm="1">
        <f t="array" ref="F184">_xlfn.IFS(E184&lt;=35, "18-35", E184&lt;=50, "36-50", E184&lt;=65, "51-65", TRUE, "Over 65")</f>
        <v>36-50</v>
      </c>
      <c r="G184" t="s">
        <v>11</v>
      </c>
      <c r="H184">
        <v>3</v>
      </c>
      <c r="I184" s="2">
        <v>300</v>
      </c>
      <c r="J184" s="2">
        <v>900</v>
      </c>
    </row>
    <row r="185" spans="1:10" x14ac:dyDescent="0.35">
      <c r="A185">
        <v>184</v>
      </c>
      <c r="B185" s="1">
        <v>44936</v>
      </c>
      <c r="C185" t="s">
        <v>197</v>
      </c>
      <c r="D185" t="s">
        <v>10</v>
      </c>
      <c r="E185">
        <v>31</v>
      </c>
      <c r="F185" t="str" cm="1">
        <f t="array" ref="F185">_xlfn.IFS(E185&lt;=35, "18-35", E185&lt;=50, "36-50", E185&lt;=65, "51-65", TRUE, "Over 65")</f>
        <v>18-35</v>
      </c>
      <c r="G185" t="s">
        <v>16</v>
      </c>
      <c r="H185">
        <v>4</v>
      </c>
      <c r="I185" s="2">
        <v>50</v>
      </c>
      <c r="J185" s="2">
        <v>200</v>
      </c>
    </row>
    <row r="186" spans="1:10" x14ac:dyDescent="0.35">
      <c r="A186">
        <v>185</v>
      </c>
      <c r="B186" s="1">
        <v>44984</v>
      </c>
      <c r="C186" t="s">
        <v>198</v>
      </c>
      <c r="D186" t="s">
        <v>10</v>
      </c>
      <c r="E186">
        <v>24</v>
      </c>
      <c r="F186" t="str" cm="1">
        <f t="array" ref="F186">_xlfn.IFS(E186&lt;=35, "18-35", E186&lt;=50, "36-50", E186&lt;=65, "51-65", TRUE, "Over 65")</f>
        <v>18-35</v>
      </c>
      <c r="G186" t="s">
        <v>14</v>
      </c>
      <c r="H186">
        <v>1</v>
      </c>
      <c r="I186" s="2">
        <v>25</v>
      </c>
      <c r="J186" s="2">
        <v>25</v>
      </c>
    </row>
    <row r="187" spans="1:10" x14ac:dyDescent="0.35">
      <c r="A187">
        <v>186</v>
      </c>
      <c r="B187" s="1">
        <v>45112</v>
      </c>
      <c r="C187" t="s">
        <v>199</v>
      </c>
      <c r="D187" t="s">
        <v>10</v>
      </c>
      <c r="E187">
        <v>20</v>
      </c>
      <c r="F187" t="str" cm="1">
        <f t="array" ref="F187">_xlfn.IFS(E187&lt;=35, "18-35", E187&lt;=50, "36-50", E187&lt;=65, "51-65", TRUE, "Over 65")</f>
        <v>18-35</v>
      </c>
      <c r="G187" t="s">
        <v>14</v>
      </c>
      <c r="H187">
        <v>4</v>
      </c>
      <c r="I187" s="2">
        <v>50</v>
      </c>
      <c r="J187" s="2">
        <v>200</v>
      </c>
    </row>
    <row r="188" spans="1:10" x14ac:dyDescent="0.35">
      <c r="A188">
        <v>187</v>
      </c>
      <c r="B188" s="1">
        <v>45084</v>
      </c>
      <c r="C188" t="s">
        <v>200</v>
      </c>
      <c r="D188" t="s">
        <v>13</v>
      </c>
      <c r="E188">
        <v>64</v>
      </c>
      <c r="F188" t="str" cm="1">
        <f t="array" ref="F188">_xlfn.IFS(E188&lt;=35, "18-35", E188&lt;=50, "36-50", E188&lt;=65, "51-65", TRUE, "Over 65")</f>
        <v>51-65</v>
      </c>
      <c r="G188" t="s">
        <v>14</v>
      </c>
      <c r="H188">
        <v>2</v>
      </c>
      <c r="I188" s="2">
        <v>50</v>
      </c>
      <c r="J188" s="2">
        <v>100</v>
      </c>
    </row>
    <row r="189" spans="1:10" x14ac:dyDescent="0.35">
      <c r="A189">
        <v>188</v>
      </c>
      <c r="B189" s="1">
        <v>45049</v>
      </c>
      <c r="C189" t="s">
        <v>201</v>
      </c>
      <c r="D189" t="s">
        <v>10</v>
      </c>
      <c r="E189">
        <v>40</v>
      </c>
      <c r="F189" t="str" cm="1">
        <f t="array" ref="F189">_xlfn.IFS(E189&lt;=35, "18-35", E189&lt;=50, "36-50", E189&lt;=65, "51-65", TRUE, "Over 65")</f>
        <v>36-50</v>
      </c>
      <c r="G189" t="s">
        <v>14</v>
      </c>
      <c r="H189">
        <v>3</v>
      </c>
      <c r="I189" s="2">
        <v>25</v>
      </c>
      <c r="J189" s="2">
        <v>75</v>
      </c>
    </row>
    <row r="190" spans="1:10" x14ac:dyDescent="0.35">
      <c r="A190">
        <v>189</v>
      </c>
      <c r="B190" s="1">
        <v>44956</v>
      </c>
      <c r="C190" t="s">
        <v>202</v>
      </c>
      <c r="D190" t="s">
        <v>10</v>
      </c>
      <c r="E190">
        <v>63</v>
      </c>
      <c r="F190" t="str" cm="1">
        <f t="array" ref="F190">_xlfn.IFS(E190&lt;=35, "18-35", E190&lt;=50, "36-50", E190&lt;=65, "51-65", TRUE, "Over 65")</f>
        <v>51-65</v>
      </c>
      <c r="G190" t="s">
        <v>11</v>
      </c>
      <c r="H190">
        <v>1</v>
      </c>
      <c r="I190" s="2">
        <v>50</v>
      </c>
      <c r="J190" s="2">
        <v>50</v>
      </c>
    </row>
    <row r="191" spans="1:10" x14ac:dyDescent="0.35">
      <c r="A191">
        <v>190</v>
      </c>
      <c r="B191" s="1">
        <v>45050</v>
      </c>
      <c r="C191" t="s">
        <v>203</v>
      </c>
      <c r="D191" t="s">
        <v>13</v>
      </c>
      <c r="E191">
        <v>60</v>
      </c>
      <c r="F191" t="str" cm="1">
        <f t="array" ref="F191">_xlfn.IFS(E191&lt;=35, "18-35", E191&lt;=50, "36-50", E191&lt;=65, "51-65", TRUE, "Over 65")</f>
        <v>51-65</v>
      </c>
      <c r="G191" t="s">
        <v>11</v>
      </c>
      <c r="H191">
        <v>3</v>
      </c>
      <c r="I191" s="2">
        <v>30</v>
      </c>
      <c r="J191" s="2">
        <v>90</v>
      </c>
    </row>
    <row r="192" spans="1:10" x14ac:dyDescent="0.35">
      <c r="A192">
        <v>191</v>
      </c>
      <c r="B192" s="1">
        <v>45217</v>
      </c>
      <c r="C192" t="s">
        <v>204</v>
      </c>
      <c r="D192" t="s">
        <v>10</v>
      </c>
      <c r="E192">
        <v>64</v>
      </c>
      <c r="F192" t="str" cm="1">
        <f t="array" ref="F192">_xlfn.IFS(E192&lt;=35, "18-35", E192&lt;=50, "36-50", E192&lt;=65, "51-65", TRUE, "Over 65")</f>
        <v>51-65</v>
      </c>
      <c r="G192" t="s">
        <v>11</v>
      </c>
      <c r="H192">
        <v>1</v>
      </c>
      <c r="I192" s="2">
        <v>25</v>
      </c>
      <c r="J192" s="2">
        <v>25</v>
      </c>
    </row>
    <row r="193" spans="1:10" x14ac:dyDescent="0.35">
      <c r="A193">
        <v>192</v>
      </c>
      <c r="B193" s="1">
        <v>44967</v>
      </c>
      <c r="C193" t="s">
        <v>205</v>
      </c>
      <c r="D193" t="s">
        <v>10</v>
      </c>
      <c r="E193">
        <v>62</v>
      </c>
      <c r="F193" t="str" cm="1">
        <f t="array" ref="F193">_xlfn.IFS(E193&lt;=35, "18-35", E193&lt;=50, "36-50", E193&lt;=65, "51-65", TRUE, "Over 65")</f>
        <v>51-65</v>
      </c>
      <c r="G193" t="s">
        <v>11</v>
      </c>
      <c r="H193">
        <v>2</v>
      </c>
      <c r="I193" s="2">
        <v>50</v>
      </c>
      <c r="J193" s="2">
        <v>100</v>
      </c>
    </row>
    <row r="194" spans="1:10" x14ac:dyDescent="0.35">
      <c r="A194">
        <v>193</v>
      </c>
      <c r="B194" s="1">
        <v>44970</v>
      </c>
      <c r="C194" t="s">
        <v>206</v>
      </c>
      <c r="D194" t="s">
        <v>10</v>
      </c>
      <c r="E194">
        <v>35</v>
      </c>
      <c r="F194" t="str" cm="1">
        <f t="array" ref="F194">_xlfn.IFS(E194&lt;=35, "18-35", E194&lt;=50, "36-50", E194&lt;=65, "51-65", TRUE, "Over 65")</f>
        <v>18-35</v>
      </c>
      <c r="G194" t="s">
        <v>11</v>
      </c>
      <c r="H194">
        <v>3</v>
      </c>
      <c r="I194" s="2">
        <v>500</v>
      </c>
      <c r="J194" s="2">
        <v>1500</v>
      </c>
    </row>
    <row r="195" spans="1:10" x14ac:dyDescent="0.35">
      <c r="A195">
        <v>194</v>
      </c>
      <c r="B195" s="1">
        <v>45175</v>
      </c>
      <c r="C195" t="s">
        <v>207</v>
      </c>
      <c r="D195" t="s">
        <v>10</v>
      </c>
      <c r="E195">
        <v>55</v>
      </c>
      <c r="F195" t="str" cm="1">
        <f t="array" ref="F195">_xlfn.IFS(E195&lt;=35, "18-35", E195&lt;=50, "36-50", E195&lt;=65, "51-65", TRUE, "Over 65")</f>
        <v>51-65</v>
      </c>
      <c r="G195" t="s">
        <v>14</v>
      </c>
      <c r="H195">
        <v>4</v>
      </c>
      <c r="I195" s="2">
        <v>50</v>
      </c>
      <c r="J195" s="2">
        <v>200</v>
      </c>
    </row>
    <row r="196" spans="1:10" x14ac:dyDescent="0.35">
      <c r="A196">
        <v>195</v>
      </c>
      <c r="B196" s="1">
        <v>44962</v>
      </c>
      <c r="C196" t="s">
        <v>208</v>
      </c>
      <c r="D196" t="s">
        <v>10</v>
      </c>
      <c r="E196">
        <v>52</v>
      </c>
      <c r="F196" t="str" cm="1">
        <f t="array" ref="F196">_xlfn.IFS(E196&lt;=35, "18-35", E196&lt;=50, "36-50", E196&lt;=65, "51-65", TRUE, "Over 65")</f>
        <v>51-65</v>
      </c>
      <c r="G196" t="s">
        <v>14</v>
      </c>
      <c r="H196">
        <v>1</v>
      </c>
      <c r="I196" s="2">
        <v>30</v>
      </c>
      <c r="J196" s="2">
        <v>30</v>
      </c>
    </row>
    <row r="197" spans="1:10" x14ac:dyDescent="0.35">
      <c r="A197">
        <v>196</v>
      </c>
      <c r="B197" s="1">
        <v>45199</v>
      </c>
      <c r="C197" t="s">
        <v>209</v>
      </c>
      <c r="D197" t="s">
        <v>13</v>
      </c>
      <c r="E197">
        <v>32</v>
      </c>
      <c r="F197" t="str" cm="1">
        <f t="array" ref="F197">_xlfn.IFS(E197&lt;=35, "18-35", E197&lt;=50, "36-50", E197&lt;=65, "51-65", TRUE, "Over 65")</f>
        <v>18-35</v>
      </c>
      <c r="G197" t="s">
        <v>14</v>
      </c>
      <c r="H197">
        <v>3</v>
      </c>
      <c r="I197" s="2">
        <v>300</v>
      </c>
      <c r="J197" s="2">
        <v>900</v>
      </c>
    </row>
    <row r="198" spans="1:10" x14ac:dyDescent="0.35">
      <c r="A198">
        <v>197</v>
      </c>
      <c r="B198" s="1">
        <v>44991</v>
      </c>
      <c r="C198" t="s">
        <v>210</v>
      </c>
      <c r="D198" t="s">
        <v>13</v>
      </c>
      <c r="E198">
        <v>42</v>
      </c>
      <c r="F198" t="str" cm="1">
        <f t="array" ref="F198">_xlfn.IFS(E198&lt;=35, "18-35", E198&lt;=50, "36-50", E198&lt;=65, "51-65", TRUE, "Over 65")</f>
        <v>36-50</v>
      </c>
      <c r="G198" t="s">
        <v>14</v>
      </c>
      <c r="H198">
        <v>4</v>
      </c>
      <c r="I198" s="2">
        <v>50</v>
      </c>
      <c r="J198" s="2">
        <v>200</v>
      </c>
    </row>
    <row r="199" spans="1:10" x14ac:dyDescent="0.35">
      <c r="A199">
        <v>198</v>
      </c>
      <c r="B199" s="1">
        <v>44992</v>
      </c>
      <c r="C199" t="s">
        <v>211</v>
      </c>
      <c r="D199" t="s">
        <v>13</v>
      </c>
      <c r="E199">
        <v>54</v>
      </c>
      <c r="F199" t="str" cm="1">
        <f t="array" ref="F199">_xlfn.IFS(E199&lt;=35, "18-35", E199&lt;=50, "36-50", E199&lt;=65, "51-65", TRUE, "Over 65")</f>
        <v>51-65</v>
      </c>
      <c r="G199" t="s">
        <v>11</v>
      </c>
      <c r="H199">
        <v>3</v>
      </c>
      <c r="I199" s="2">
        <v>300</v>
      </c>
      <c r="J199" s="2">
        <v>900</v>
      </c>
    </row>
    <row r="200" spans="1:10" x14ac:dyDescent="0.35">
      <c r="A200">
        <v>199</v>
      </c>
      <c r="B200" s="1">
        <v>45264</v>
      </c>
      <c r="C200" t="s">
        <v>212</v>
      </c>
      <c r="D200" t="s">
        <v>10</v>
      </c>
      <c r="E200">
        <v>45</v>
      </c>
      <c r="F200" t="str" cm="1">
        <f t="array" ref="F200">_xlfn.IFS(E200&lt;=35, "18-35", E200&lt;=50, "36-50", E200&lt;=65, "51-65", TRUE, "Over 65")</f>
        <v>36-50</v>
      </c>
      <c r="G200" t="s">
        <v>11</v>
      </c>
      <c r="H200">
        <v>3</v>
      </c>
      <c r="I200" s="2">
        <v>500</v>
      </c>
      <c r="J200" s="2">
        <v>1500</v>
      </c>
    </row>
    <row r="201" spans="1:10" x14ac:dyDescent="0.35">
      <c r="A201">
        <v>200</v>
      </c>
      <c r="B201" s="1">
        <v>45170</v>
      </c>
      <c r="C201" t="s">
        <v>213</v>
      </c>
      <c r="D201" t="s">
        <v>10</v>
      </c>
      <c r="E201">
        <v>27</v>
      </c>
      <c r="F201" t="str" cm="1">
        <f t="array" ref="F201">_xlfn.IFS(E201&lt;=35, "18-35", E201&lt;=50, "36-50", E201&lt;=65, "51-65", TRUE, "Over 65")</f>
        <v>18-35</v>
      </c>
      <c r="G201" t="s">
        <v>11</v>
      </c>
      <c r="H201">
        <v>3</v>
      </c>
      <c r="I201" s="2">
        <v>50</v>
      </c>
      <c r="J201" s="2">
        <v>150</v>
      </c>
    </row>
    <row r="202" spans="1:10" x14ac:dyDescent="0.35">
      <c r="A202">
        <v>201</v>
      </c>
      <c r="B202" s="1">
        <v>45208</v>
      </c>
      <c r="C202" t="s">
        <v>214</v>
      </c>
      <c r="D202" t="s">
        <v>10</v>
      </c>
      <c r="E202">
        <v>56</v>
      </c>
      <c r="F202" t="str" cm="1">
        <f t="array" ref="F202">_xlfn.IFS(E202&lt;=35, "18-35", E202&lt;=50, "36-50", E202&lt;=65, "51-65", TRUE, "Over 65")</f>
        <v>51-65</v>
      </c>
      <c r="G202" t="s">
        <v>16</v>
      </c>
      <c r="H202">
        <v>1</v>
      </c>
      <c r="I202" s="2">
        <v>25</v>
      </c>
      <c r="J202" s="2">
        <v>25</v>
      </c>
    </row>
    <row r="203" spans="1:10" x14ac:dyDescent="0.35">
      <c r="A203">
        <v>202</v>
      </c>
      <c r="B203" s="1">
        <v>45011</v>
      </c>
      <c r="C203" t="s">
        <v>215</v>
      </c>
      <c r="D203" t="s">
        <v>13</v>
      </c>
      <c r="E203">
        <v>34</v>
      </c>
      <c r="F203" t="str" cm="1">
        <f t="array" ref="F203">_xlfn.IFS(E203&lt;=35, "18-35", E203&lt;=50, "36-50", E203&lt;=65, "51-65", TRUE, "Over 65")</f>
        <v>18-35</v>
      </c>
      <c r="G203" t="s">
        <v>14</v>
      </c>
      <c r="H203">
        <v>4</v>
      </c>
      <c r="I203" s="2">
        <v>300</v>
      </c>
      <c r="J203" s="2">
        <v>1200</v>
      </c>
    </row>
    <row r="204" spans="1:10" x14ac:dyDescent="0.35">
      <c r="A204">
        <v>203</v>
      </c>
      <c r="B204" s="1">
        <v>45062</v>
      </c>
      <c r="C204" t="s">
        <v>216</v>
      </c>
      <c r="D204" t="s">
        <v>10</v>
      </c>
      <c r="E204">
        <v>56</v>
      </c>
      <c r="F204" t="str" cm="1">
        <f t="array" ref="F204">_xlfn.IFS(E204&lt;=35, "18-35", E204&lt;=50, "36-50", E204&lt;=65, "51-65", TRUE, "Over 65")</f>
        <v>51-65</v>
      </c>
      <c r="G204" t="s">
        <v>14</v>
      </c>
      <c r="H204">
        <v>2</v>
      </c>
      <c r="I204" s="2">
        <v>500</v>
      </c>
      <c r="J204" s="2">
        <v>1000</v>
      </c>
    </row>
    <row r="205" spans="1:10" x14ac:dyDescent="0.35">
      <c r="A205">
        <v>204</v>
      </c>
      <c r="B205" s="1">
        <v>45197</v>
      </c>
      <c r="C205" t="s">
        <v>217</v>
      </c>
      <c r="D205" t="s">
        <v>10</v>
      </c>
      <c r="E205">
        <v>39</v>
      </c>
      <c r="F205" t="str" cm="1">
        <f t="array" ref="F205">_xlfn.IFS(E205&lt;=35, "18-35", E205&lt;=50, "36-50", E205&lt;=65, "51-65", TRUE, "Over 65")</f>
        <v>36-50</v>
      </c>
      <c r="G205" t="s">
        <v>11</v>
      </c>
      <c r="H205">
        <v>1</v>
      </c>
      <c r="I205" s="2">
        <v>25</v>
      </c>
      <c r="J205" s="2">
        <v>25</v>
      </c>
    </row>
    <row r="206" spans="1:10" x14ac:dyDescent="0.35">
      <c r="A206">
        <v>205</v>
      </c>
      <c r="B206" s="1">
        <v>45237</v>
      </c>
      <c r="C206" t="s">
        <v>218</v>
      </c>
      <c r="D206" t="s">
        <v>13</v>
      </c>
      <c r="E206">
        <v>43</v>
      </c>
      <c r="F206" t="str" cm="1">
        <f t="array" ref="F206">_xlfn.IFS(E206&lt;=35, "18-35", E206&lt;=50, "36-50", E206&lt;=65, "51-65", TRUE, "Over 65")</f>
        <v>36-50</v>
      </c>
      <c r="G206" t="s">
        <v>14</v>
      </c>
      <c r="H206">
        <v>1</v>
      </c>
      <c r="I206" s="2">
        <v>25</v>
      </c>
      <c r="J206" s="2">
        <v>25</v>
      </c>
    </row>
    <row r="207" spans="1:10" x14ac:dyDescent="0.35">
      <c r="A207">
        <v>206</v>
      </c>
      <c r="B207" s="1">
        <v>45143</v>
      </c>
      <c r="C207" t="s">
        <v>219</v>
      </c>
      <c r="D207" t="s">
        <v>10</v>
      </c>
      <c r="E207">
        <v>61</v>
      </c>
      <c r="F207" t="str" cm="1">
        <f t="array" ref="F207">_xlfn.IFS(E207&lt;=35, "18-35", E207&lt;=50, "36-50", E207&lt;=65, "51-65", TRUE, "Over 65")</f>
        <v>51-65</v>
      </c>
      <c r="G207" t="s">
        <v>14</v>
      </c>
      <c r="H207">
        <v>1</v>
      </c>
      <c r="I207" s="2">
        <v>25</v>
      </c>
      <c r="J207" s="2">
        <v>25</v>
      </c>
    </row>
    <row r="208" spans="1:10" x14ac:dyDescent="0.35">
      <c r="A208">
        <v>207</v>
      </c>
      <c r="B208" s="1">
        <v>45035</v>
      </c>
      <c r="C208" t="s">
        <v>220</v>
      </c>
      <c r="D208" t="s">
        <v>13</v>
      </c>
      <c r="E208">
        <v>42</v>
      </c>
      <c r="F208" t="str" cm="1">
        <f t="array" ref="F208">_xlfn.IFS(E208&lt;=35, "18-35", E208&lt;=50, "36-50", E208&lt;=65, "51-65", TRUE, "Over 65")</f>
        <v>36-50</v>
      </c>
      <c r="G208" t="s">
        <v>11</v>
      </c>
      <c r="H208">
        <v>2</v>
      </c>
      <c r="I208" s="2">
        <v>25</v>
      </c>
      <c r="J208" s="2">
        <v>50</v>
      </c>
    </row>
    <row r="209" spans="1:10" x14ac:dyDescent="0.35">
      <c r="A209">
        <v>208</v>
      </c>
      <c r="B209" s="1">
        <v>45203</v>
      </c>
      <c r="C209" t="s">
        <v>221</v>
      </c>
      <c r="D209" t="s">
        <v>13</v>
      </c>
      <c r="E209">
        <v>34</v>
      </c>
      <c r="F209" t="str" cm="1">
        <f t="array" ref="F209">_xlfn.IFS(E209&lt;=35, "18-35", E209&lt;=50, "36-50", E209&lt;=65, "51-65", TRUE, "Over 65")</f>
        <v>18-35</v>
      </c>
      <c r="G209" t="s">
        <v>16</v>
      </c>
      <c r="H209">
        <v>4</v>
      </c>
      <c r="I209" s="2">
        <v>50</v>
      </c>
      <c r="J209" s="2">
        <v>200</v>
      </c>
    </row>
    <row r="210" spans="1:10" x14ac:dyDescent="0.35">
      <c r="A210">
        <v>209</v>
      </c>
      <c r="B210" s="1">
        <v>45280</v>
      </c>
      <c r="C210" t="s">
        <v>222</v>
      </c>
      <c r="D210" t="s">
        <v>13</v>
      </c>
      <c r="E210">
        <v>30</v>
      </c>
      <c r="F210" t="str" cm="1">
        <f t="array" ref="F210">_xlfn.IFS(E210&lt;=35, "18-35", E210&lt;=50, "36-50", E210&lt;=65, "51-65", TRUE, "Over 65")</f>
        <v>18-35</v>
      </c>
      <c r="G210" t="s">
        <v>16</v>
      </c>
      <c r="H210">
        <v>4</v>
      </c>
      <c r="I210" s="2">
        <v>50</v>
      </c>
      <c r="J210" s="2">
        <v>200</v>
      </c>
    </row>
    <row r="211" spans="1:10" x14ac:dyDescent="0.35">
      <c r="A211">
        <v>210</v>
      </c>
      <c r="B211" s="1">
        <v>45029</v>
      </c>
      <c r="C211" t="s">
        <v>223</v>
      </c>
      <c r="D211" t="s">
        <v>10</v>
      </c>
      <c r="E211">
        <v>37</v>
      </c>
      <c r="F211" t="str" cm="1">
        <f t="array" ref="F211">_xlfn.IFS(E211&lt;=35, "18-35", E211&lt;=50, "36-50", E211&lt;=65, "51-65", TRUE, "Over 65")</f>
        <v>36-50</v>
      </c>
      <c r="G211" t="s">
        <v>16</v>
      </c>
      <c r="H211">
        <v>4</v>
      </c>
      <c r="I211" s="2">
        <v>50</v>
      </c>
      <c r="J211" s="2">
        <v>200</v>
      </c>
    </row>
    <row r="212" spans="1:10" x14ac:dyDescent="0.35">
      <c r="A212">
        <v>211</v>
      </c>
      <c r="B212" s="1">
        <v>45292</v>
      </c>
      <c r="C212" t="s">
        <v>224</v>
      </c>
      <c r="D212" t="s">
        <v>10</v>
      </c>
      <c r="E212">
        <v>42</v>
      </c>
      <c r="F212" t="str" cm="1">
        <f t="array" ref="F212">_xlfn.IFS(E212&lt;=35, "18-35", E212&lt;=50, "36-50", E212&lt;=65, "51-65", TRUE, "Over 65")</f>
        <v>36-50</v>
      </c>
      <c r="G212" t="s">
        <v>11</v>
      </c>
      <c r="H212">
        <v>3</v>
      </c>
      <c r="I212" s="2">
        <v>500</v>
      </c>
      <c r="J212" s="2">
        <v>1500</v>
      </c>
    </row>
    <row r="213" spans="1:10" x14ac:dyDescent="0.35">
      <c r="A213">
        <v>212</v>
      </c>
      <c r="B213" s="1">
        <v>45086</v>
      </c>
      <c r="C213" t="s">
        <v>225</v>
      </c>
      <c r="D213" t="s">
        <v>10</v>
      </c>
      <c r="E213">
        <v>21</v>
      </c>
      <c r="F213" t="str" cm="1">
        <f t="array" ref="F213">_xlfn.IFS(E213&lt;=35, "18-35", E213&lt;=50, "36-50", E213&lt;=65, "51-65", TRUE, "Over 65")</f>
        <v>18-35</v>
      </c>
      <c r="G213" t="s">
        <v>14</v>
      </c>
      <c r="H213">
        <v>3</v>
      </c>
      <c r="I213" s="2">
        <v>500</v>
      </c>
      <c r="J213" s="2">
        <v>1500</v>
      </c>
    </row>
    <row r="214" spans="1:10" x14ac:dyDescent="0.35">
      <c r="A214">
        <v>213</v>
      </c>
      <c r="B214" s="1">
        <v>45131</v>
      </c>
      <c r="C214" t="s">
        <v>226</v>
      </c>
      <c r="D214" t="s">
        <v>10</v>
      </c>
      <c r="E214">
        <v>27</v>
      </c>
      <c r="F214" t="str" cm="1">
        <f t="array" ref="F214">_xlfn.IFS(E214&lt;=35, "18-35", E214&lt;=50, "36-50", E214&lt;=65, "51-65", TRUE, "Over 65")</f>
        <v>18-35</v>
      </c>
      <c r="G214" t="s">
        <v>11</v>
      </c>
      <c r="H214">
        <v>3</v>
      </c>
      <c r="I214" s="2">
        <v>500</v>
      </c>
      <c r="J214" s="2">
        <v>1500</v>
      </c>
    </row>
    <row r="215" spans="1:10" x14ac:dyDescent="0.35">
      <c r="A215">
        <v>214</v>
      </c>
      <c r="B215" s="1">
        <v>45270</v>
      </c>
      <c r="C215" t="s">
        <v>227</v>
      </c>
      <c r="D215" t="s">
        <v>10</v>
      </c>
      <c r="E215">
        <v>20</v>
      </c>
      <c r="F215" t="str" cm="1">
        <f t="array" ref="F215">_xlfn.IFS(E215&lt;=35, "18-35", E215&lt;=50, "36-50", E215&lt;=65, "51-65", TRUE, "Over 65")</f>
        <v>18-35</v>
      </c>
      <c r="G215" t="s">
        <v>11</v>
      </c>
      <c r="H215">
        <v>2</v>
      </c>
      <c r="I215" s="2">
        <v>30</v>
      </c>
      <c r="J215" s="2">
        <v>60</v>
      </c>
    </row>
    <row r="216" spans="1:10" x14ac:dyDescent="0.35">
      <c r="A216">
        <v>215</v>
      </c>
      <c r="B216" s="1">
        <v>45259</v>
      </c>
      <c r="C216" t="s">
        <v>228</v>
      </c>
      <c r="D216" t="s">
        <v>10</v>
      </c>
      <c r="E216">
        <v>58</v>
      </c>
      <c r="F216" t="str" cm="1">
        <f t="array" ref="F216">_xlfn.IFS(E216&lt;=35, "18-35", E216&lt;=50, "36-50", E216&lt;=65, "51-65", TRUE, "Over 65")</f>
        <v>51-65</v>
      </c>
      <c r="G216" t="s">
        <v>14</v>
      </c>
      <c r="H216">
        <v>3</v>
      </c>
      <c r="I216" s="2">
        <v>500</v>
      </c>
      <c r="J216" s="2">
        <v>1500</v>
      </c>
    </row>
    <row r="217" spans="1:10" x14ac:dyDescent="0.35">
      <c r="A217">
        <v>216</v>
      </c>
      <c r="B217" s="1">
        <v>45118</v>
      </c>
      <c r="C217" t="s">
        <v>229</v>
      </c>
      <c r="D217" t="s">
        <v>10</v>
      </c>
      <c r="E217">
        <v>62</v>
      </c>
      <c r="F217" t="str" cm="1">
        <f t="array" ref="F217">_xlfn.IFS(E217&lt;=35, "18-35", E217&lt;=50, "36-50", E217&lt;=65, "51-65", TRUE, "Over 65")</f>
        <v>51-65</v>
      </c>
      <c r="G217" t="s">
        <v>16</v>
      </c>
      <c r="H217">
        <v>2</v>
      </c>
      <c r="I217" s="2">
        <v>50</v>
      </c>
      <c r="J217" s="2">
        <v>100</v>
      </c>
    </row>
    <row r="218" spans="1:10" x14ac:dyDescent="0.35">
      <c r="A218">
        <v>217</v>
      </c>
      <c r="B218" s="1">
        <v>45151</v>
      </c>
      <c r="C218" t="s">
        <v>230</v>
      </c>
      <c r="D218" t="s">
        <v>13</v>
      </c>
      <c r="E218">
        <v>35</v>
      </c>
      <c r="F218" t="str" cm="1">
        <f t="array" ref="F218">_xlfn.IFS(E218&lt;=35, "18-35", E218&lt;=50, "36-50", E218&lt;=65, "51-65", TRUE, "Over 65")</f>
        <v>18-35</v>
      </c>
      <c r="G218" t="s">
        <v>16</v>
      </c>
      <c r="H218">
        <v>4</v>
      </c>
      <c r="I218" s="2">
        <v>50</v>
      </c>
      <c r="J218" s="2">
        <v>200</v>
      </c>
    </row>
    <row r="219" spans="1:10" x14ac:dyDescent="0.35">
      <c r="A219">
        <v>218</v>
      </c>
      <c r="B219" s="1">
        <v>45191</v>
      </c>
      <c r="C219" t="s">
        <v>231</v>
      </c>
      <c r="D219" t="s">
        <v>10</v>
      </c>
      <c r="E219">
        <v>64</v>
      </c>
      <c r="F219" t="str" cm="1">
        <f t="array" ref="F219">_xlfn.IFS(E219&lt;=35, "18-35", E219&lt;=50, "36-50", E219&lt;=65, "51-65", TRUE, "Over 65")</f>
        <v>51-65</v>
      </c>
      <c r="G219" t="s">
        <v>11</v>
      </c>
      <c r="H219">
        <v>3</v>
      </c>
      <c r="I219" s="2">
        <v>30</v>
      </c>
      <c r="J219" s="2">
        <v>90</v>
      </c>
    </row>
    <row r="220" spans="1:10" x14ac:dyDescent="0.35">
      <c r="A220">
        <v>219</v>
      </c>
      <c r="B220" s="1">
        <v>45158</v>
      </c>
      <c r="C220" t="s">
        <v>232</v>
      </c>
      <c r="D220" t="s">
        <v>13</v>
      </c>
      <c r="E220">
        <v>53</v>
      </c>
      <c r="F220" t="str" cm="1">
        <f t="array" ref="F220">_xlfn.IFS(E220&lt;=35, "18-35", E220&lt;=50, "36-50", E220&lt;=65, "51-65", TRUE, "Over 65")</f>
        <v>51-65</v>
      </c>
      <c r="G220" t="s">
        <v>16</v>
      </c>
      <c r="H220">
        <v>3</v>
      </c>
      <c r="I220" s="2">
        <v>30</v>
      </c>
      <c r="J220" s="2">
        <v>90</v>
      </c>
    </row>
    <row r="221" spans="1:10" x14ac:dyDescent="0.35">
      <c r="A221">
        <v>220</v>
      </c>
      <c r="B221" s="1">
        <v>44988</v>
      </c>
      <c r="C221" t="s">
        <v>233</v>
      </c>
      <c r="D221" t="s">
        <v>10</v>
      </c>
      <c r="E221">
        <v>64</v>
      </c>
      <c r="F221" t="str" cm="1">
        <f t="array" ref="F221">_xlfn.IFS(E221&lt;=35, "18-35", E221&lt;=50, "36-50", E221&lt;=65, "51-65", TRUE, "Over 65")</f>
        <v>51-65</v>
      </c>
      <c r="G221" t="s">
        <v>11</v>
      </c>
      <c r="H221">
        <v>1</v>
      </c>
      <c r="I221" s="2">
        <v>500</v>
      </c>
      <c r="J221" s="2">
        <v>500</v>
      </c>
    </row>
    <row r="222" spans="1:10" x14ac:dyDescent="0.35">
      <c r="A222">
        <v>221</v>
      </c>
      <c r="B222" s="1">
        <v>45053</v>
      </c>
      <c r="C222" t="s">
        <v>234</v>
      </c>
      <c r="D222" t="s">
        <v>10</v>
      </c>
      <c r="E222">
        <v>39</v>
      </c>
      <c r="F222" t="str" cm="1">
        <f t="array" ref="F222">_xlfn.IFS(E222&lt;=35, "18-35", E222&lt;=50, "36-50", E222&lt;=65, "51-65", TRUE, "Over 65")</f>
        <v>36-50</v>
      </c>
      <c r="G222" t="s">
        <v>11</v>
      </c>
      <c r="H222">
        <v>2</v>
      </c>
      <c r="I222" s="2">
        <v>300</v>
      </c>
      <c r="J222" s="2">
        <v>600</v>
      </c>
    </row>
    <row r="223" spans="1:10" x14ac:dyDescent="0.35">
      <c r="A223">
        <v>222</v>
      </c>
      <c r="B223" s="1">
        <v>45042</v>
      </c>
      <c r="C223" t="s">
        <v>235</v>
      </c>
      <c r="D223" t="s">
        <v>10</v>
      </c>
      <c r="E223">
        <v>51</v>
      </c>
      <c r="F223" t="str" cm="1">
        <f t="array" ref="F223">_xlfn.IFS(E223&lt;=35, "18-35", E223&lt;=50, "36-50", E223&lt;=65, "51-65", TRUE, "Over 65")</f>
        <v>51-65</v>
      </c>
      <c r="G223" t="s">
        <v>14</v>
      </c>
      <c r="H223">
        <v>4</v>
      </c>
      <c r="I223" s="2">
        <v>30</v>
      </c>
      <c r="J223" s="2">
        <v>120</v>
      </c>
    </row>
    <row r="224" spans="1:10" x14ac:dyDescent="0.35">
      <c r="A224">
        <v>223</v>
      </c>
      <c r="B224" s="1">
        <v>44959</v>
      </c>
      <c r="C224" t="s">
        <v>236</v>
      </c>
      <c r="D224" t="s">
        <v>13</v>
      </c>
      <c r="E224">
        <v>64</v>
      </c>
      <c r="F224" t="str" cm="1">
        <f t="array" ref="F224">_xlfn.IFS(E224&lt;=35, "18-35", E224&lt;=50, "36-50", E224&lt;=65, "51-65", TRUE, "Over 65")</f>
        <v>51-65</v>
      </c>
      <c r="G224" t="s">
        <v>14</v>
      </c>
      <c r="H224">
        <v>1</v>
      </c>
      <c r="I224" s="2">
        <v>25</v>
      </c>
      <c r="J224" s="2">
        <v>25</v>
      </c>
    </row>
    <row r="225" spans="1:10" x14ac:dyDescent="0.35">
      <c r="A225">
        <v>224</v>
      </c>
      <c r="B225" s="1">
        <v>45100</v>
      </c>
      <c r="C225" t="s">
        <v>237</v>
      </c>
      <c r="D225" t="s">
        <v>13</v>
      </c>
      <c r="E225">
        <v>25</v>
      </c>
      <c r="F225" t="str" cm="1">
        <f t="array" ref="F225">_xlfn.IFS(E225&lt;=35, "18-35", E225&lt;=50, "36-50", E225&lt;=65, "51-65", TRUE, "Over 65")</f>
        <v>18-35</v>
      </c>
      <c r="G225" t="s">
        <v>14</v>
      </c>
      <c r="H225">
        <v>1</v>
      </c>
      <c r="I225" s="2">
        <v>50</v>
      </c>
      <c r="J225" s="2">
        <v>50</v>
      </c>
    </row>
    <row r="226" spans="1:10" x14ac:dyDescent="0.35">
      <c r="A226">
        <v>225</v>
      </c>
      <c r="B226" s="1">
        <v>44937</v>
      </c>
      <c r="C226" t="s">
        <v>238</v>
      </c>
      <c r="D226" t="s">
        <v>13</v>
      </c>
      <c r="E226">
        <v>57</v>
      </c>
      <c r="F226" t="str" cm="1">
        <f t="array" ref="F226">_xlfn.IFS(E226&lt;=35, "18-35", E226&lt;=50, "36-50", E226&lt;=65, "51-65", TRUE, "Over 65")</f>
        <v>51-65</v>
      </c>
      <c r="G226" t="s">
        <v>11</v>
      </c>
      <c r="H226">
        <v>4</v>
      </c>
      <c r="I226" s="2">
        <v>25</v>
      </c>
      <c r="J226" s="2">
        <v>100</v>
      </c>
    </row>
    <row r="227" spans="1:10" x14ac:dyDescent="0.35">
      <c r="A227">
        <v>226</v>
      </c>
      <c r="B227" s="1">
        <v>45228</v>
      </c>
      <c r="C227" t="s">
        <v>239</v>
      </c>
      <c r="D227" t="s">
        <v>13</v>
      </c>
      <c r="E227">
        <v>61</v>
      </c>
      <c r="F227" t="str" cm="1">
        <f t="array" ref="F227">_xlfn.IFS(E227&lt;=35, "18-35", E227&lt;=50, "36-50", E227&lt;=65, "51-65", TRUE, "Over 65")</f>
        <v>51-65</v>
      </c>
      <c r="G227" t="s">
        <v>14</v>
      </c>
      <c r="H227">
        <v>1</v>
      </c>
      <c r="I227" s="2">
        <v>50</v>
      </c>
      <c r="J227" s="2">
        <v>50</v>
      </c>
    </row>
    <row r="228" spans="1:10" x14ac:dyDescent="0.35">
      <c r="A228">
        <v>227</v>
      </c>
      <c r="B228" s="1">
        <v>45210</v>
      </c>
      <c r="C228" t="s">
        <v>240</v>
      </c>
      <c r="D228" t="s">
        <v>10</v>
      </c>
      <c r="E228">
        <v>36</v>
      </c>
      <c r="F228" t="str" cm="1">
        <f t="array" ref="F228">_xlfn.IFS(E228&lt;=35, "18-35", E228&lt;=50, "36-50", E228&lt;=65, "51-65", TRUE, "Over 65")</f>
        <v>36-50</v>
      </c>
      <c r="G228" t="s">
        <v>16</v>
      </c>
      <c r="H228">
        <v>2</v>
      </c>
      <c r="I228" s="2">
        <v>50</v>
      </c>
      <c r="J228" s="2">
        <v>100</v>
      </c>
    </row>
    <row r="229" spans="1:10" x14ac:dyDescent="0.35">
      <c r="A229">
        <v>228</v>
      </c>
      <c r="B229" s="1">
        <v>45044</v>
      </c>
      <c r="C229" t="s">
        <v>241</v>
      </c>
      <c r="D229" t="s">
        <v>13</v>
      </c>
      <c r="E229">
        <v>59</v>
      </c>
      <c r="F229" t="str" cm="1">
        <f t="array" ref="F229">_xlfn.IFS(E229&lt;=35, "18-35", E229&lt;=50, "36-50", E229&lt;=65, "51-65", TRUE, "Over 65")</f>
        <v>51-65</v>
      </c>
      <c r="G229" t="s">
        <v>16</v>
      </c>
      <c r="H229">
        <v>2</v>
      </c>
      <c r="I229" s="2">
        <v>30</v>
      </c>
      <c r="J229" s="2">
        <v>60</v>
      </c>
    </row>
    <row r="230" spans="1:10" x14ac:dyDescent="0.35">
      <c r="A230">
        <v>229</v>
      </c>
      <c r="B230" s="1">
        <v>45228</v>
      </c>
      <c r="C230" t="s">
        <v>242</v>
      </c>
      <c r="D230" t="s">
        <v>10</v>
      </c>
      <c r="E230">
        <v>58</v>
      </c>
      <c r="F230" t="str" cm="1">
        <f t="array" ref="F230">_xlfn.IFS(E230&lt;=35, "18-35", E230&lt;=50, "36-50", E230&lt;=65, "51-65", TRUE, "Over 65")</f>
        <v>51-65</v>
      </c>
      <c r="G230" t="s">
        <v>11</v>
      </c>
      <c r="H230">
        <v>3</v>
      </c>
      <c r="I230" s="2">
        <v>30</v>
      </c>
      <c r="J230" s="2">
        <v>90</v>
      </c>
    </row>
    <row r="231" spans="1:10" x14ac:dyDescent="0.35">
      <c r="A231">
        <v>230</v>
      </c>
      <c r="B231" s="1">
        <v>45039</v>
      </c>
      <c r="C231" t="s">
        <v>243</v>
      </c>
      <c r="D231" t="s">
        <v>10</v>
      </c>
      <c r="E231">
        <v>54</v>
      </c>
      <c r="F231" t="str" cm="1">
        <f t="array" ref="F231">_xlfn.IFS(E231&lt;=35, "18-35", E231&lt;=50, "36-50", E231&lt;=65, "51-65", TRUE, "Over 65")</f>
        <v>51-65</v>
      </c>
      <c r="G231" t="s">
        <v>11</v>
      </c>
      <c r="H231">
        <v>1</v>
      </c>
      <c r="I231" s="2">
        <v>25</v>
      </c>
      <c r="J231" s="2">
        <v>25</v>
      </c>
    </row>
    <row r="232" spans="1:10" x14ac:dyDescent="0.35">
      <c r="A232">
        <v>231</v>
      </c>
      <c r="B232" s="1">
        <v>44930</v>
      </c>
      <c r="C232" t="s">
        <v>244</v>
      </c>
      <c r="D232" t="s">
        <v>13</v>
      </c>
      <c r="E232">
        <v>23</v>
      </c>
      <c r="F232" t="str" cm="1">
        <f t="array" ref="F232">_xlfn.IFS(E232&lt;=35, "18-35", E232&lt;=50, "36-50", E232&lt;=65, "51-65", TRUE, "Over 65")</f>
        <v>18-35</v>
      </c>
      <c r="G232" t="s">
        <v>14</v>
      </c>
      <c r="H232">
        <v>3</v>
      </c>
      <c r="I232" s="2">
        <v>50</v>
      </c>
      <c r="J232" s="2">
        <v>150</v>
      </c>
    </row>
    <row r="233" spans="1:10" x14ac:dyDescent="0.35">
      <c r="A233">
        <v>232</v>
      </c>
      <c r="B233" s="1">
        <v>44963</v>
      </c>
      <c r="C233" t="s">
        <v>245</v>
      </c>
      <c r="D233" t="s">
        <v>13</v>
      </c>
      <c r="E233">
        <v>43</v>
      </c>
      <c r="F233" t="str" cm="1">
        <f t="array" ref="F233">_xlfn.IFS(E233&lt;=35, "18-35", E233&lt;=50, "36-50", E233&lt;=65, "51-65", TRUE, "Over 65")</f>
        <v>36-50</v>
      </c>
      <c r="G233" t="s">
        <v>11</v>
      </c>
      <c r="H233">
        <v>1</v>
      </c>
      <c r="I233" s="2">
        <v>25</v>
      </c>
      <c r="J233" s="2">
        <v>25</v>
      </c>
    </row>
    <row r="234" spans="1:10" x14ac:dyDescent="0.35">
      <c r="A234">
        <v>233</v>
      </c>
      <c r="B234" s="1">
        <v>45289</v>
      </c>
      <c r="C234" t="s">
        <v>246</v>
      </c>
      <c r="D234" t="s">
        <v>13</v>
      </c>
      <c r="E234">
        <v>51</v>
      </c>
      <c r="F234" t="str" cm="1">
        <f t="array" ref="F234">_xlfn.IFS(E234&lt;=35, "18-35", E234&lt;=50, "36-50", E234&lt;=65, "51-65", TRUE, "Over 65")</f>
        <v>51-65</v>
      </c>
      <c r="G234" t="s">
        <v>11</v>
      </c>
      <c r="H234">
        <v>2</v>
      </c>
      <c r="I234" s="2">
        <v>300</v>
      </c>
      <c r="J234" s="2">
        <v>600</v>
      </c>
    </row>
    <row r="235" spans="1:10" x14ac:dyDescent="0.35">
      <c r="A235">
        <v>234</v>
      </c>
      <c r="B235" s="1">
        <v>45250</v>
      </c>
      <c r="C235" t="s">
        <v>247</v>
      </c>
      <c r="D235" t="s">
        <v>13</v>
      </c>
      <c r="E235">
        <v>62</v>
      </c>
      <c r="F235" t="str" cm="1">
        <f t="array" ref="F235">_xlfn.IFS(E235&lt;=35, "18-35", E235&lt;=50, "36-50", E235&lt;=65, "51-65", TRUE, "Over 65")</f>
        <v>51-65</v>
      </c>
      <c r="G235" t="s">
        <v>16</v>
      </c>
      <c r="H235">
        <v>2</v>
      </c>
      <c r="I235" s="2">
        <v>25</v>
      </c>
      <c r="J235" s="2">
        <v>50</v>
      </c>
    </row>
    <row r="236" spans="1:10" x14ac:dyDescent="0.35">
      <c r="A236">
        <v>235</v>
      </c>
      <c r="B236" s="1">
        <v>44957</v>
      </c>
      <c r="C236" t="s">
        <v>248</v>
      </c>
      <c r="D236" t="s">
        <v>13</v>
      </c>
      <c r="E236">
        <v>23</v>
      </c>
      <c r="F236" t="str" cm="1">
        <f t="array" ref="F236">_xlfn.IFS(E236&lt;=35, "18-35", E236&lt;=50, "36-50", E236&lt;=65, "51-65", TRUE, "Over 65")</f>
        <v>18-35</v>
      </c>
      <c r="G236" t="s">
        <v>16</v>
      </c>
      <c r="H236">
        <v>2</v>
      </c>
      <c r="I236" s="2">
        <v>500</v>
      </c>
      <c r="J236" s="2">
        <v>1000</v>
      </c>
    </row>
    <row r="237" spans="1:10" x14ac:dyDescent="0.35">
      <c r="A237">
        <v>236</v>
      </c>
      <c r="B237" s="1">
        <v>45044</v>
      </c>
      <c r="C237" t="s">
        <v>249</v>
      </c>
      <c r="D237" t="s">
        <v>13</v>
      </c>
      <c r="E237">
        <v>54</v>
      </c>
      <c r="F237" t="str" cm="1">
        <f t="array" ref="F237">_xlfn.IFS(E237&lt;=35, "18-35", E237&lt;=50, "36-50", E237&lt;=65, "51-65", TRUE, "Over 65")</f>
        <v>51-65</v>
      </c>
      <c r="G237" t="s">
        <v>14</v>
      </c>
      <c r="H237">
        <v>1</v>
      </c>
      <c r="I237" s="2">
        <v>25</v>
      </c>
      <c r="J237" s="2">
        <v>25</v>
      </c>
    </row>
    <row r="238" spans="1:10" x14ac:dyDescent="0.35">
      <c r="A238">
        <v>237</v>
      </c>
      <c r="B238" s="1">
        <v>44961</v>
      </c>
      <c r="C238" t="s">
        <v>250</v>
      </c>
      <c r="D238" t="s">
        <v>13</v>
      </c>
      <c r="E238">
        <v>50</v>
      </c>
      <c r="F238" t="str" cm="1">
        <f t="array" ref="F238">_xlfn.IFS(E238&lt;=35, "18-35", E238&lt;=50, "36-50", E238&lt;=65, "51-65", TRUE, "Over 65")</f>
        <v>36-50</v>
      </c>
      <c r="G238" t="s">
        <v>11</v>
      </c>
      <c r="H238">
        <v>2</v>
      </c>
      <c r="I238" s="2">
        <v>500</v>
      </c>
      <c r="J238" s="2">
        <v>1000</v>
      </c>
    </row>
    <row r="239" spans="1:10" x14ac:dyDescent="0.35">
      <c r="A239">
        <v>238</v>
      </c>
      <c r="B239" s="1">
        <v>44943</v>
      </c>
      <c r="C239" t="s">
        <v>251</v>
      </c>
      <c r="D239" t="s">
        <v>13</v>
      </c>
      <c r="E239">
        <v>39</v>
      </c>
      <c r="F239" t="str" cm="1">
        <f t="array" ref="F239">_xlfn.IFS(E239&lt;=35, "18-35", E239&lt;=50, "36-50", E239&lt;=65, "51-65", TRUE, "Over 65")</f>
        <v>36-50</v>
      </c>
      <c r="G239" t="s">
        <v>11</v>
      </c>
      <c r="H239">
        <v>1</v>
      </c>
      <c r="I239" s="2">
        <v>500</v>
      </c>
      <c r="J239" s="2">
        <v>500</v>
      </c>
    </row>
    <row r="240" spans="1:10" x14ac:dyDescent="0.35">
      <c r="A240">
        <v>239</v>
      </c>
      <c r="B240" s="1">
        <v>45096</v>
      </c>
      <c r="C240" t="s">
        <v>252</v>
      </c>
      <c r="D240" t="s">
        <v>10</v>
      </c>
      <c r="E240">
        <v>38</v>
      </c>
      <c r="F240" t="str" cm="1">
        <f t="array" ref="F240">_xlfn.IFS(E240&lt;=35, "18-35", E240&lt;=50, "36-50", E240&lt;=65, "51-65", TRUE, "Over 65")</f>
        <v>36-50</v>
      </c>
      <c r="G240" t="s">
        <v>16</v>
      </c>
      <c r="H240">
        <v>3</v>
      </c>
      <c r="I240" s="2">
        <v>500</v>
      </c>
      <c r="J240" s="2">
        <v>1500</v>
      </c>
    </row>
    <row r="241" spans="1:10" x14ac:dyDescent="0.35">
      <c r="A241">
        <v>240</v>
      </c>
      <c r="B241" s="1">
        <v>44963</v>
      </c>
      <c r="C241" t="s">
        <v>253</v>
      </c>
      <c r="D241" t="s">
        <v>13</v>
      </c>
      <c r="E241">
        <v>23</v>
      </c>
      <c r="F241" t="str" cm="1">
        <f t="array" ref="F241">_xlfn.IFS(E241&lt;=35, "18-35", E241&lt;=50, "36-50", E241&lt;=65, "51-65", TRUE, "Over 65")</f>
        <v>18-35</v>
      </c>
      <c r="G241" t="s">
        <v>11</v>
      </c>
      <c r="H241">
        <v>1</v>
      </c>
      <c r="I241" s="2">
        <v>300</v>
      </c>
      <c r="J241" s="2">
        <v>300</v>
      </c>
    </row>
    <row r="242" spans="1:10" x14ac:dyDescent="0.35">
      <c r="A242">
        <v>241</v>
      </c>
      <c r="B242" s="1">
        <v>45190</v>
      </c>
      <c r="C242" t="s">
        <v>254</v>
      </c>
      <c r="D242" t="s">
        <v>13</v>
      </c>
      <c r="E242">
        <v>23</v>
      </c>
      <c r="F242" t="str" cm="1">
        <f t="array" ref="F242">_xlfn.IFS(E242&lt;=35, "18-35", E242&lt;=50, "36-50", E242&lt;=65, "51-65", TRUE, "Over 65")</f>
        <v>18-35</v>
      </c>
      <c r="G242" t="s">
        <v>16</v>
      </c>
      <c r="H242">
        <v>3</v>
      </c>
      <c r="I242" s="2">
        <v>25</v>
      </c>
      <c r="J242" s="2">
        <v>75</v>
      </c>
    </row>
    <row r="243" spans="1:10" x14ac:dyDescent="0.35">
      <c r="A243">
        <v>242</v>
      </c>
      <c r="B243" s="1">
        <v>45048</v>
      </c>
      <c r="C243" t="s">
        <v>255</v>
      </c>
      <c r="D243" t="s">
        <v>10</v>
      </c>
      <c r="E243">
        <v>21</v>
      </c>
      <c r="F243" t="str" cm="1">
        <f t="array" ref="F243">_xlfn.IFS(E243&lt;=35, "18-35", E243&lt;=50, "36-50", E243&lt;=65, "51-65", TRUE, "Over 65")</f>
        <v>18-35</v>
      </c>
      <c r="G243" t="s">
        <v>14</v>
      </c>
      <c r="H243">
        <v>1</v>
      </c>
      <c r="I243" s="2">
        <v>25</v>
      </c>
      <c r="J243" s="2">
        <v>25</v>
      </c>
    </row>
    <row r="244" spans="1:10" x14ac:dyDescent="0.35">
      <c r="A244">
        <v>243</v>
      </c>
      <c r="B244" s="1">
        <v>45069</v>
      </c>
      <c r="C244" t="s">
        <v>256</v>
      </c>
      <c r="D244" t="s">
        <v>13</v>
      </c>
      <c r="E244">
        <v>47</v>
      </c>
      <c r="F244" t="str" cm="1">
        <f t="array" ref="F244">_xlfn.IFS(E244&lt;=35, "18-35", E244&lt;=50, "36-50", E244&lt;=65, "51-65", TRUE, "Over 65")</f>
        <v>36-50</v>
      </c>
      <c r="G244" t="s">
        <v>16</v>
      </c>
      <c r="H244">
        <v>3</v>
      </c>
      <c r="I244" s="2">
        <v>300</v>
      </c>
      <c r="J244" s="2">
        <v>900</v>
      </c>
    </row>
    <row r="245" spans="1:10" x14ac:dyDescent="0.35">
      <c r="A245">
        <v>244</v>
      </c>
      <c r="B245" s="1">
        <v>45269</v>
      </c>
      <c r="C245" t="s">
        <v>257</v>
      </c>
      <c r="D245" t="s">
        <v>10</v>
      </c>
      <c r="E245">
        <v>28</v>
      </c>
      <c r="F245" t="str" cm="1">
        <f t="array" ref="F245">_xlfn.IFS(E245&lt;=35, "18-35", E245&lt;=50, "36-50", E245&lt;=65, "51-65", TRUE, "Over 65")</f>
        <v>18-35</v>
      </c>
      <c r="G245" t="s">
        <v>11</v>
      </c>
      <c r="H245">
        <v>2</v>
      </c>
      <c r="I245" s="2">
        <v>50</v>
      </c>
      <c r="J245" s="2">
        <v>100</v>
      </c>
    </row>
    <row r="246" spans="1:10" x14ac:dyDescent="0.35">
      <c r="A246">
        <v>245</v>
      </c>
      <c r="B246" s="1">
        <v>45175</v>
      </c>
      <c r="C246" t="s">
        <v>258</v>
      </c>
      <c r="D246" t="s">
        <v>10</v>
      </c>
      <c r="E246">
        <v>47</v>
      </c>
      <c r="F246" t="str" cm="1">
        <f t="array" ref="F246">_xlfn.IFS(E246&lt;=35, "18-35", E246&lt;=50, "36-50", E246&lt;=65, "51-65", TRUE, "Over 65")</f>
        <v>36-50</v>
      </c>
      <c r="G246" t="s">
        <v>14</v>
      </c>
      <c r="H246">
        <v>3</v>
      </c>
      <c r="I246" s="2">
        <v>30</v>
      </c>
      <c r="J246" s="2">
        <v>90</v>
      </c>
    </row>
    <row r="247" spans="1:10" x14ac:dyDescent="0.35">
      <c r="A247">
        <v>246</v>
      </c>
      <c r="B247" s="1">
        <v>45036</v>
      </c>
      <c r="C247" t="s">
        <v>259</v>
      </c>
      <c r="D247" t="s">
        <v>13</v>
      </c>
      <c r="E247">
        <v>48</v>
      </c>
      <c r="F247" t="str" cm="1">
        <f t="array" ref="F247">_xlfn.IFS(E247&lt;=35, "18-35", E247&lt;=50, "36-50", E247&lt;=65, "51-65", TRUE, "Over 65")</f>
        <v>36-50</v>
      </c>
      <c r="G247" t="s">
        <v>16</v>
      </c>
      <c r="H247">
        <v>2</v>
      </c>
      <c r="I247" s="2">
        <v>25</v>
      </c>
      <c r="J247" s="2">
        <v>50</v>
      </c>
    </row>
    <row r="248" spans="1:10" x14ac:dyDescent="0.35">
      <c r="A248">
        <v>247</v>
      </c>
      <c r="B248" s="1">
        <v>45203</v>
      </c>
      <c r="C248" t="s">
        <v>260</v>
      </c>
      <c r="D248" t="s">
        <v>10</v>
      </c>
      <c r="E248">
        <v>41</v>
      </c>
      <c r="F248" t="str" cm="1">
        <f t="array" ref="F248">_xlfn.IFS(E248&lt;=35, "18-35", E248&lt;=50, "36-50", E248&lt;=65, "51-65", TRUE, "Over 65")</f>
        <v>36-50</v>
      </c>
      <c r="G248" t="s">
        <v>16</v>
      </c>
      <c r="H248">
        <v>2</v>
      </c>
      <c r="I248" s="2">
        <v>30</v>
      </c>
      <c r="J248" s="2">
        <v>60</v>
      </c>
    </row>
    <row r="249" spans="1:10" x14ac:dyDescent="0.35">
      <c r="A249">
        <v>248</v>
      </c>
      <c r="B249" s="1">
        <v>44994</v>
      </c>
      <c r="C249" t="s">
        <v>261</v>
      </c>
      <c r="D249" t="s">
        <v>10</v>
      </c>
      <c r="E249">
        <v>26</v>
      </c>
      <c r="F249" t="str" cm="1">
        <f t="array" ref="F249">_xlfn.IFS(E249&lt;=35, "18-35", E249&lt;=50, "36-50", E249&lt;=65, "51-65", TRUE, "Over 65")</f>
        <v>18-35</v>
      </c>
      <c r="G249" t="s">
        <v>14</v>
      </c>
      <c r="H249">
        <v>3</v>
      </c>
      <c r="I249" s="2">
        <v>300</v>
      </c>
      <c r="J249" s="2">
        <v>900</v>
      </c>
    </row>
    <row r="250" spans="1:10" x14ac:dyDescent="0.35">
      <c r="A250">
        <v>249</v>
      </c>
      <c r="B250" s="1">
        <v>45219</v>
      </c>
      <c r="C250" t="s">
        <v>262</v>
      </c>
      <c r="D250" t="s">
        <v>10</v>
      </c>
      <c r="E250">
        <v>20</v>
      </c>
      <c r="F250" t="str" cm="1">
        <f t="array" ref="F250">_xlfn.IFS(E250&lt;=35, "18-35", E250&lt;=50, "36-50", E250&lt;=65, "51-65", TRUE, "Over 65")</f>
        <v>18-35</v>
      </c>
      <c r="G250" t="s">
        <v>14</v>
      </c>
      <c r="H250">
        <v>1</v>
      </c>
      <c r="I250" s="2">
        <v>50</v>
      </c>
      <c r="J250" s="2">
        <v>50</v>
      </c>
    </row>
    <row r="251" spans="1:10" x14ac:dyDescent="0.35">
      <c r="A251">
        <v>250</v>
      </c>
      <c r="B251" s="1">
        <v>45222</v>
      </c>
      <c r="C251" t="s">
        <v>263</v>
      </c>
      <c r="D251" t="s">
        <v>10</v>
      </c>
      <c r="E251">
        <v>48</v>
      </c>
      <c r="F251" t="str" cm="1">
        <f t="array" ref="F251">_xlfn.IFS(E251&lt;=35, "18-35", E251&lt;=50, "36-50", E251&lt;=65, "51-65", TRUE, "Over 65")</f>
        <v>36-50</v>
      </c>
      <c r="G251" t="s">
        <v>16</v>
      </c>
      <c r="H251">
        <v>1</v>
      </c>
      <c r="I251" s="2">
        <v>50</v>
      </c>
      <c r="J251" s="2">
        <v>50</v>
      </c>
    </row>
    <row r="252" spans="1:10" x14ac:dyDescent="0.35">
      <c r="A252">
        <v>251</v>
      </c>
      <c r="B252" s="1">
        <v>45169</v>
      </c>
      <c r="C252" t="s">
        <v>264</v>
      </c>
      <c r="D252" t="s">
        <v>13</v>
      </c>
      <c r="E252">
        <v>57</v>
      </c>
      <c r="F252" t="str" cm="1">
        <f t="array" ref="F252">_xlfn.IFS(E252&lt;=35, "18-35", E252&lt;=50, "36-50", E252&lt;=65, "51-65", TRUE, "Over 65")</f>
        <v>51-65</v>
      </c>
      <c r="G252" t="s">
        <v>11</v>
      </c>
      <c r="H252">
        <v>4</v>
      </c>
      <c r="I252" s="2">
        <v>50</v>
      </c>
      <c r="J252" s="2">
        <v>200</v>
      </c>
    </row>
    <row r="253" spans="1:10" x14ac:dyDescent="0.35">
      <c r="A253">
        <v>252</v>
      </c>
      <c r="B253" s="1">
        <v>45051</v>
      </c>
      <c r="C253" t="s">
        <v>265</v>
      </c>
      <c r="D253" t="s">
        <v>10</v>
      </c>
      <c r="E253">
        <v>54</v>
      </c>
      <c r="F253" t="str" cm="1">
        <f t="array" ref="F253">_xlfn.IFS(E253&lt;=35, "18-35", E253&lt;=50, "36-50", E253&lt;=65, "51-65", TRUE, "Over 65")</f>
        <v>51-65</v>
      </c>
      <c r="G253" t="s">
        <v>16</v>
      </c>
      <c r="H253">
        <v>1</v>
      </c>
      <c r="I253" s="2">
        <v>300</v>
      </c>
      <c r="J253" s="2">
        <v>300</v>
      </c>
    </row>
    <row r="254" spans="1:10" x14ac:dyDescent="0.35">
      <c r="A254">
        <v>253</v>
      </c>
      <c r="B254" s="1">
        <v>45169</v>
      </c>
      <c r="C254" t="s">
        <v>266</v>
      </c>
      <c r="D254" t="s">
        <v>13</v>
      </c>
      <c r="E254">
        <v>53</v>
      </c>
      <c r="F254" t="str" cm="1">
        <f t="array" ref="F254">_xlfn.IFS(E254&lt;=35, "18-35", E254&lt;=50, "36-50", E254&lt;=65, "51-65", TRUE, "Over 65")</f>
        <v>51-65</v>
      </c>
      <c r="G254" t="s">
        <v>14</v>
      </c>
      <c r="H254">
        <v>4</v>
      </c>
      <c r="I254" s="2">
        <v>500</v>
      </c>
      <c r="J254" s="2">
        <v>2000</v>
      </c>
    </row>
    <row r="255" spans="1:10" x14ac:dyDescent="0.35">
      <c r="A255">
        <v>254</v>
      </c>
      <c r="B255" s="1">
        <v>45135</v>
      </c>
      <c r="C255" t="s">
        <v>267</v>
      </c>
      <c r="D255" t="s">
        <v>10</v>
      </c>
      <c r="E255">
        <v>41</v>
      </c>
      <c r="F255" t="str" cm="1">
        <f t="array" ref="F255">_xlfn.IFS(E255&lt;=35, "18-35", E255&lt;=50, "36-50", E255&lt;=65, "51-65", TRUE, "Over 65")</f>
        <v>36-50</v>
      </c>
      <c r="G255" t="s">
        <v>16</v>
      </c>
      <c r="H255">
        <v>1</v>
      </c>
      <c r="I255" s="2">
        <v>500</v>
      </c>
      <c r="J255" s="2">
        <v>500</v>
      </c>
    </row>
    <row r="256" spans="1:10" x14ac:dyDescent="0.35">
      <c r="A256">
        <v>255</v>
      </c>
      <c r="B256" s="1">
        <v>45024</v>
      </c>
      <c r="C256" t="s">
        <v>268</v>
      </c>
      <c r="D256" t="s">
        <v>10</v>
      </c>
      <c r="E256">
        <v>48</v>
      </c>
      <c r="F256" t="str" cm="1">
        <f t="array" ref="F256">_xlfn.IFS(E256&lt;=35, "18-35", E256&lt;=50, "36-50", E256&lt;=65, "51-65", TRUE, "Over 65")</f>
        <v>36-50</v>
      </c>
      <c r="G256" t="s">
        <v>14</v>
      </c>
      <c r="H256">
        <v>1</v>
      </c>
      <c r="I256" s="2">
        <v>30</v>
      </c>
      <c r="J256" s="2">
        <v>30</v>
      </c>
    </row>
    <row r="257" spans="1:10" x14ac:dyDescent="0.35">
      <c r="A257">
        <v>256</v>
      </c>
      <c r="B257" s="1">
        <v>44975</v>
      </c>
      <c r="C257" t="s">
        <v>269</v>
      </c>
      <c r="D257" t="s">
        <v>10</v>
      </c>
      <c r="E257">
        <v>23</v>
      </c>
      <c r="F257" t="str" cm="1">
        <f t="array" ref="F257">_xlfn.IFS(E257&lt;=35, "18-35", E257&lt;=50, "36-50", E257&lt;=65, "51-65", TRUE, "Over 65")</f>
        <v>18-35</v>
      </c>
      <c r="G257" t="s">
        <v>14</v>
      </c>
      <c r="H257">
        <v>2</v>
      </c>
      <c r="I257" s="2">
        <v>500</v>
      </c>
      <c r="J257" s="2">
        <v>1000</v>
      </c>
    </row>
    <row r="258" spans="1:10" x14ac:dyDescent="0.35">
      <c r="A258">
        <v>257</v>
      </c>
      <c r="B258" s="1">
        <v>44976</v>
      </c>
      <c r="C258" t="s">
        <v>270</v>
      </c>
      <c r="D258" t="s">
        <v>10</v>
      </c>
      <c r="E258">
        <v>19</v>
      </c>
      <c r="F258" t="str" cm="1">
        <f t="array" ref="F258">_xlfn.IFS(E258&lt;=35, "18-35", E258&lt;=50, "36-50", E258&lt;=65, "51-65", TRUE, "Over 65")</f>
        <v>18-35</v>
      </c>
      <c r="G258" t="s">
        <v>11</v>
      </c>
      <c r="H258">
        <v>4</v>
      </c>
      <c r="I258" s="2">
        <v>500</v>
      </c>
      <c r="J258" s="2">
        <v>2000</v>
      </c>
    </row>
    <row r="259" spans="1:10" x14ac:dyDescent="0.35">
      <c r="A259">
        <v>258</v>
      </c>
      <c r="B259" s="1">
        <v>45264</v>
      </c>
      <c r="C259" t="s">
        <v>271</v>
      </c>
      <c r="D259" t="s">
        <v>13</v>
      </c>
      <c r="E259">
        <v>37</v>
      </c>
      <c r="F259" t="str" cm="1">
        <f t="array" ref="F259">_xlfn.IFS(E259&lt;=35, "18-35", E259&lt;=50, "36-50", E259&lt;=65, "51-65", TRUE, "Over 65")</f>
        <v>36-50</v>
      </c>
      <c r="G259" t="s">
        <v>14</v>
      </c>
      <c r="H259">
        <v>1</v>
      </c>
      <c r="I259" s="2">
        <v>50</v>
      </c>
      <c r="J259" s="2">
        <v>50</v>
      </c>
    </row>
    <row r="260" spans="1:10" x14ac:dyDescent="0.35">
      <c r="A260">
        <v>259</v>
      </c>
      <c r="B260" s="1">
        <v>45147</v>
      </c>
      <c r="C260" t="s">
        <v>272</v>
      </c>
      <c r="D260" t="s">
        <v>13</v>
      </c>
      <c r="E260">
        <v>45</v>
      </c>
      <c r="F260" t="str" cm="1">
        <f t="array" ref="F260">_xlfn.IFS(E260&lt;=35, "18-35", E260&lt;=50, "36-50", E260&lt;=65, "51-65", TRUE, "Over 65")</f>
        <v>36-50</v>
      </c>
      <c r="G260" t="s">
        <v>14</v>
      </c>
      <c r="H260">
        <v>4</v>
      </c>
      <c r="I260" s="2">
        <v>50</v>
      </c>
      <c r="J260" s="2">
        <v>200</v>
      </c>
    </row>
    <row r="261" spans="1:10" x14ac:dyDescent="0.35">
      <c r="A261">
        <v>260</v>
      </c>
      <c r="B261" s="1">
        <v>45108</v>
      </c>
      <c r="C261" t="s">
        <v>273</v>
      </c>
      <c r="D261" t="s">
        <v>10</v>
      </c>
      <c r="E261">
        <v>28</v>
      </c>
      <c r="F261" t="str" cm="1">
        <f t="array" ref="F261">_xlfn.IFS(E261&lt;=35, "18-35", E261&lt;=50, "36-50", E261&lt;=65, "51-65", TRUE, "Over 65")</f>
        <v>18-35</v>
      </c>
      <c r="G261" t="s">
        <v>11</v>
      </c>
      <c r="H261">
        <v>2</v>
      </c>
      <c r="I261" s="2">
        <v>30</v>
      </c>
      <c r="J261" s="2">
        <v>60</v>
      </c>
    </row>
    <row r="262" spans="1:10" x14ac:dyDescent="0.35">
      <c r="A262">
        <v>261</v>
      </c>
      <c r="B262" s="1">
        <v>45143</v>
      </c>
      <c r="C262" t="s">
        <v>274</v>
      </c>
      <c r="D262" t="s">
        <v>10</v>
      </c>
      <c r="E262">
        <v>21</v>
      </c>
      <c r="F262" t="str" cm="1">
        <f t="array" ref="F262">_xlfn.IFS(E262&lt;=35, "18-35", E262&lt;=50, "36-50", E262&lt;=65, "51-65", TRUE, "Over 65")</f>
        <v>18-35</v>
      </c>
      <c r="G262" t="s">
        <v>14</v>
      </c>
      <c r="H262">
        <v>2</v>
      </c>
      <c r="I262" s="2">
        <v>25</v>
      </c>
      <c r="J262" s="2">
        <v>50</v>
      </c>
    </row>
    <row r="263" spans="1:10" x14ac:dyDescent="0.35">
      <c r="A263">
        <v>262</v>
      </c>
      <c r="B263" s="1">
        <v>45137</v>
      </c>
      <c r="C263" t="s">
        <v>275</v>
      </c>
      <c r="D263" t="s">
        <v>13</v>
      </c>
      <c r="E263">
        <v>32</v>
      </c>
      <c r="F263" t="str" cm="1">
        <f t="array" ref="F263">_xlfn.IFS(E263&lt;=35, "18-35", E263&lt;=50, "36-50", E263&lt;=65, "51-65", TRUE, "Over 65")</f>
        <v>18-35</v>
      </c>
      <c r="G263" t="s">
        <v>11</v>
      </c>
      <c r="H263">
        <v>4</v>
      </c>
      <c r="I263" s="2">
        <v>30</v>
      </c>
      <c r="J263" s="2">
        <v>120</v>
      </c>
    </row>
    <row r="264" spans="1:10" x14ac:dyDescent="0.35">
      <c r="A264">
        <v>263</v>
      </c>
      <c r="B264" s="1">
        <v>45166</v>
      </c>
      <c r="C264" t="s">
        <v>276</v>
      </c>
      <c r="D264" t="s">
        <v>10</v>
      </c>
      <c r="E264">
        <v>23</v>
      </c>
      <c r="F264" t="str" cm="1">
        <f t="array" ref="F264">_xlfn.IFS(E264&lt;=35, "18-35", E264&lt;=50, "36-50", E264&lt;=65, "51-65", TRUE, "Over 65")</f>
        <v>18-35</v>
      </c>
      <c r="G264" t="s">
        <v>11</v>
      </c>
      <c r="H264">
        <v>2</v>
      </c>
      <c r="I264" s="2">
        <v>30</v>
      </c>
      <c r="J264" s="2">
        <v>60</v>
      </c>
    </row>
    <row r="265" spans="1:10" x14ac:dyDescent="0.35">
      <c r="A265">
        <v>264</v>
      </c>
      <c r="B265" s="1">
        <v>44954</v>
      </c>
      <c r="C265" t="s">
        <v>277</v>
      </c>
      <c r="D265" t="s">
        <v>10</v>
      </c>
      <c r="E265">
        <v>47</v>
      </c>
      <c r="F265" t="str" cm="1">
        <f t="array" ref="F265">_xlfn.IFS(E265&lt;=35, "18-35", E265&lt;=50, "36-50", E265&lt;=65, "51-65", TRUE, "Over 65")</f>
        <v>36-50</v>
      </c>
      <c r="G265" t="s">
        <v>14</v>
      </c>
      <c r="H265">
        <v>3</v>
      </c>
      <c r="I265" s="2">
        <v>300</v>
      </c>
      <c r="J265" s="2">
        <v>900</v>
      </c>
    </row>
    <row r="266" spans="1:10" x14ac:dyDescent="0.35">
      <c r="A266">
        <v>265</v>
      </c>
      <c r="B266" s="1">
        <v>45271</v>
      </c>
      <c r="C266" t="s">
        <v>278</v>
      </c>
      <c r="D266" t="s">
        <v>10</v>
      </c>
      <c r="E266">
        <v>55</v>
      </c>
      <c r="F266" t="str" cm="1">
        <f t="array" ref="F266">_xlfn.IFS(E266&lt;=35, "18-35", E266&lt;=50, "36-50", E266&lt;=65, "51-65", TRUE, "Over 65")</f>
        <v>51-65</v>
      </c>
      <c r="G266" t="s">
        <v>14</v>
      </c>
      <c r="H266">
        <v>3</v>
      </c>
      <c r="I266" s="2">
        <v>300</v>
      </c>
      <c r="J266" s="2">
        <v>900</v>
      </c>
    </row>
    <row r="267" spans="1:10" x14ac:dyDescent="0.35">
      <c r="A267">
        <v>266</v>
      </c>
      <c r="B267" s="1">
        <v>45261</v>
      </c>
      <c r="C267" t="s">
        <v>279</v>
      </c>
      <c r="D267" t="s">
        <v>13</v>
      </c>
      <c r="E267">
        <v>19</v>
      </c>
      <c r="F267" t="str" cm="1">
        <f t="array" ref="F267">_xlfn.IFS(E267&lt;=35, "18-35", E267&lt;=50, "36-50", E267&lt;=65, "51-65", TRUE, "Over 65")</f>
        <v>18-35</v>
      </c>
      <c r="G267" t="s">
        <v>16</v>
      </c>
      <c r="H267">
        <v>2</v>
      </c>
      <c r="I267" s="2">
        <v>30</v>
      </c>
      <c r="J267" s="2">
        <v>60</v>
      </c>
    </row>
    <row r="268" spans="1:10" x14ac:dyDescent="0.35">
      <c r="A268">
        <v>267</v>
      </c>
      <c r="B268" s="1">
        <v>45257</v>
      </c>
      <c r="C268" t="s">
        <v>280</v>
      </c>
      <c r="D268" t="s">
        <v>13</v>
      </c>
      <c r="E268">
        <v>32</v>
      </c>
      <c r="F268" t="str" cm="1">
        <f t="array" ref="F268">_xlfn.IFS(E268&lt;=35, "18-35", E268&lt;=50, "36-50", E268&lt;=65, "51-65", TRUE, "Over 65")</f>
        <v>18-35</v>
      </c>
      <c r="G268" t="s">
        <v>11</v>
      </c>
      <c r="H268">
        <v>3</v>
      </c>
      <c r="I268" s="2">
        <v>30</v>
      </c>
      <c r="J268" s="2">
        <v>90</v>
      </c>
    </row>
    <row r="269" spans="1:10" x14ac:dyDescent="0.35">
      <c r="A269">
        <v>268</v>
      </c>
      <c r="B269" s="1">
        <v>44977</v>
      </c>
      <c r="C269" t="s">
        <v>281</v>
      </c>
      <c r="D269" t="s">
        <v>13</v>
      </c>
      <c r="E269">
        <v>28</v>
      </c>
      <c r="F269" t="str" cm="1">
        <f t="array" ref="F269">_xlfn.IFS(E269&lt;=35, "18-35", E269&lt;=50, "36-50", E269&lt;=65, "51-65", TRUE, "Over 65")</f>
        <v>18-35</v>
      </c>
      <c r="G269" t="s">
        <v>16</v>
      </c>
      <c r="H269">
        <v>1</v>
      </c>
      <c r="I269" s="2">
        <v>30</v>
      </c>
      <c r="J269" s="2">
        <v>30</v>
      </c>
    </row>
    <row r="270" spans="1:10" x14ac:dyDescent="0.35">
      <c r="A270">
        <v>269</v>
      </c>
      <c r="B270" s="1">
        <v>44958</v>
      </c>
      <c r="C270" t="s">
        <v>282</v>
      </c>
      <c r="D270" t="s">
        <v>10</v>
      </c>
      <c r="E270">
        <v>25</v>
      </c>
      <c r="F270" t="str" cm="1">
        <f t="array" ref="F270">_xlfn.IFS(E270&lt;=35, "18-35", E270&lt;=50, "36-50", E270&lt;=65, "51-65", TRUE, "Over 65")</f>
        <v>18-35</v>
      </c>
      <c r="G270" t="s">
        <v>14</v>
      </c>
      <c r="H270">
        <v>4</v>
      </c>
      <c r="I270" s="2">
        <v>500</v>
      </c>
      <c r="J270" s="2">
        <v>2000</v>
      </c>
    </row>
    <row r="271" spans="1:10" x14ac:dyDescent="0.35">
      <c r="A271">
        <v>270</v>
      </c>
      <c r="B271" s="1">
        <v>45133</v>
      </c>
      <c r="C271" t="s">
        <v>283</v>
      </c>
      <c r="D271" t="s">
        <v>10</v>
      </c>
      <c r="E271">
        <v>43</v>
      </c>
      <c r="F271" t="str" cm="1">
        <f t="array" ref="F271">_xlfn.IFS(E271&lt;=35, "18-35", E271&lt;=50, "36-50", E271&lt;=65, "51-65", TRUE, "Over 65")</f>
        <v>36-50</v>
      </c>
      <c r="G271" t="s">
        <v>16</v>
      </c>
      <c r="H271">
        <v>1</v>
      </c>
      <c r="I271" s="2">
        <v>300</v>
      </c>
      <c r="J271" s="2">
        <v>300</v>
      </c>
    </row>
    <row r="272" spans="1:10" x14ac:dyDescent="0.35">
      <c r="A272">
        <v>271</v>
      </c>
      <c r="B272" s="1">
        <v>45100</v>
      </c>
      <c r="C272" t="s">
        <v>284</v>
      </c>
      <c r="D272" t="s">
        <v>13</v>
      </c>
      <c r="E272">
        <v>62</v>
      </c>
      <c r="F272" t="str" cm="1">
        <f t="array" ref="F272">_xlfn.IFS(E272&lt;=35, "18-35", E272&lt;=50, "36-50", E272&lt;=65, "51-65", TRUE, "Over 65")</f>
        <v>51-65</v>
      </c>
      <c r="G272" t="s">
        <v>11</v>
      </c>
      <c r="H272">
        <v>4</v>
      </c>
      <c r="I272" s="2">
        <v>30</v>
      </c>
      <c r="J272" s="2">
        <v>120</v>
      </c>
    </row>
    <row r="273" spans="1:10" x14ac:dyDescent="0.35">
      <c r="A273">
        <v>272</v>
      </c>
      <c r="B273" s="1">
        <v>44982</v>
      </c>
      <c r="C273" t="s">
        <v>285</v>
      </c>
      <c r="D273" t="s">
        <v>13</v>
      </c>
      <c r="E273">
        <v>61</v>
      </c>
      <c r="F273" t="str" cm="1">
        <f t="array" ref="F273">_xlfn.IFS(E273&lt;=35, "18-35", E273&lt;=50, "36-50", E273&lt;=65, "51-65", TRUE, "Over 65")</f>
        <v>51-65</v>
      </c>
      <c r="G273" t="s">
        <v>16</v>
      </c>
      <c r="H273">
        <v>2</v>
      </c>
      <c r="I273" s="2">
        <v>50</v>
      </c>
      <c r="J273" s="2">
        <v>100</v>
      </c>
    </row>
    <row r="274" spans="1:10" x14ac:dyDescent="0.35">
      <c r="A274">
        <v>273</v>
      </c>
      <c r="B274" s="1">
        <v>45054</v>
      </c>
      <c r="C274" t="s">
        <v>286</v>
      </c>
      <c r="D274" t="s">
        <v>13</v>
      </c>
      <c r="E274">
        <v>22</v>
      </c>
      <c r="F274" t="str" cm="1">
        <f t="array" ref="F274">_xlfn.IFS(E274&lt;=35, "18-35", E274&lt;=50, "36-50", E274&lt;=65, "51-65", TRUE, "Over 65")</f>
        <v>18-35</v>
      </c>
      <c r="G274" t="s">
        <v>11</v>
      </c>
      <c r="H274">
        <v>1</v>
      </c>
      <c r="I274" s="2">
        <v>50</v>
      </c>
      <c r="J274" s="2">
        <v>50</v>
      </c>
    </row>
    <row r="275" spans="1:10" x14ac:dyDescent="0.35">
      <c r="A275">
        <v>274</v>
      </c>
      <c r="B275" s="1">
        <v>45025</v>
      </c>
      <c r="C275" t="s">
        <v>287</v>
      </c>
      <c r="D275" t="s">
        <v>13</v>
      </c>
      <c r="E275">
        <v>23</v>
      </c>
      <c r="F275" t="str" cm="1">
        <f t="array" ref="F275">_xlfn.IFS(E275&lt;=35, "18-35", E275&lt;=50, "36-50", E275&lt;=65, "51-65", TRUE, "Over 65")</f>
        <v>18-35</v>
      </c>
      <c r="G275" t="s">
        <v>14</v>
      </c>
      <c r="H275">
        <v>2</v>
      </c>
      <c r="I275" s="2">
        <v>500</v>
      </c>
      <c r="J275" s="2">
        <v>1000</v>
      </c>
    </row>
    <row r="276" spans="1:10" x14ac:dyDescent="0.35">
      <c r="A276">
        <v>275</v>
      </c>
      <c r="B276" s="1">
        <v>45024</v>
      </c>
      <c r="C276" t="s">
        <v>288</v>
      </c>
      <c r="D276" t="s">
        <v>10</v>
      </c>
      <c r="E276">
        <v>43</v>
      </c>
      <c r="F276" t="str" cm="1">
        <f t="array" ref="F276">_xlfn.IFS(E276&lt;=35, "18-35", E276&lt;=50, "36-50", E276&lt;=65, "51-65", TRUE, "Over 65")</f>
        <v>36-50</v>
      </c>
      <c r="G276" t="s">
        <v>14</v>
      </c>
      <c r="H276">
        <v>2</v>
      </c>
      <c r="I276" s="2">
        <v>500</v>
      </c>
      <c r="J276" s="2">
        <v>1000</v>
      </c>
    </row>
    <row r="277" spans="1:10" x14ac:dyDescent="0.35">
      <c r="A277">
        <v>276</v>
      </c>
      <c r="B277" s="1">
        <v>45201</v>
      </c>
      <c r="C277" t="s">
        <v>289</v>
      </c>
      <c r="D277" t="s">
        <v>13</v>
      </c>
      <c r="E277">
        <v>21</v>
      </c>
      <c r="F277" t="str" cm="1">
        <f t="array" ref="F277">_xlfn.IFS(E277&lt;=35, "18-35", E277&lt;=50, "36-50", E277&lt;=65, "51-65", TRUE, "Over 65")</f>
        <v>18-35</v>
      </c>
      <c r="G277" t="s">
        <v>11</v>
      </c>
      <c r="H277">
        <v>4</v>
      </c>
      <c r="I277" s="2">
        <v>25</v>
      </c>
      <c r="J277" s="2">
        <v>100</v>
      </c>
    </row>
    <row r="278" spans="1:10" x14ac:dyDescent="0.35">
      <c r="A278">
        <v>277</v>
      </c>
      <c r="B278" s="1">
        <v>45156</v>
      </c>
      <c r="C278" t="s">
        <v>290</v>
      </c>
      <c r="D278" t="s">
        <v>10</v>
      </c>
      <c r="E278">
        <v>36</v>
      </c>
      <c r="F278" t="str" cm="1">
        <f t="array" ref="F278">_xlfn.IFS(E278&lt;=35, "18-35", E278&lt;=50, "36-50", E278&lt;=65, "51-65", TRUE, "Over 65")</f>
        <v>36-50</v>
      </c>
      <c r="G278" t="s">
        <v>14</v>
      </c>
      <c r="H278">
        <v>4</v>
      </c>
      <c r="I278" s="2">
        <v>25</v>
      </c>
      <c r="J278" s="2">
        <v>100</v>
      </c>
    </row>
    <row r="279" spans="1:10" x14ac:dyDescent="0.35">
      <c r="A279">
        <v>278</v>
      </c>
      <c r="B279" s="1">
        <v>44998</v>
      </c>
      <c r="C279" t="s">
        <v>291</v>
      </c>
      <c r="D279" t="s">
        <v>13</v>
      </c>
      <c r="E279">
        <v>37</v>
      </c>
      <c r="F279" t="str" cm="1">
        <f t="array" ref="F279">_xlfn.IFS(E279&lt;=35, "18-35", E279&lt;=50, "36-50", E279&lt;=65, "51-65", TRUE, "Over 65")</f>
        <v>36-50</v>
      </c>
      <c r="G279" t="s">
        <v>14</v>
      </c>
      <c r="H279">
        <v>4</v>
      </c>
      <c r="I279" s="2">
        <v>25</v>
      </c>
      <c r="J279" s="2">
        <v>100</v>
      </c>
    </row>
    <row r="280" spans="1:10" x14ac:dyDescent="0.35">
      <c r="A280">
        <v>279</v>
      </c>
      <c r="B280" s="1">
        <v>45143</v>
      </c>
      <c r="C280" t="s">
        <v>292</v>
      </c>
      <c r="D280" t="s">
        <v>10</v>
      </c>
      <c r="E280">
        <v>50</v>
      </c>
      <c r="F280" t="str" cm="1">
        <f t="array" ref="F280">_xlfn.IFS(E280&lt;=35, "18-35", E280&lt;=50, "36-50", E280&lt;=65, "51-65", TRUE, "Over 65")</f>
        <v>36-50</v>
      </c>
      <c r="G280" t="s">
        <v>14</v>
      </c>
      <c r="H280">
        <v>1</v>
      </c>
      <c r="I280" s="2">
        <v>500</v>
      </c>
      <c r="J280" s="2">
        <v>500</v>
      </c>
    </row>
    <row r="281" spans="1:10" x14ac:dyDescent="0.35">
      <c r="A281">
        <v>280</v>
      </c>
      <c r="B281" s="1">
        <v>45020</v>
      </c>
      <c r="C281" t="s">
        <v>293</v>
      </c>
      <c r="D281" t="s">
        <v>13</v>
      </c>
      <c r="E281">
        <v>37</v>
      </c>
      <c r="F281" t="str" cm="1">
        <f t="array" ref="F281">_xlfn.IFS(E281&lt;=35, "18-35", E281&lt;=50, "36-50", E281&lt;=65, "51-65", TRUE, "Over 65")</f>
        <v>36-50</v>
      </c>
      <c r="G281" t="s">
        <v>14</v>
      </c>
      <c r="H281">
        <v>3</v>
      </c>
      <c r="I281" s="2">
        <v>500</v>
      </c>
      <c r="J281" s="2">
        <v>1500</v>
      </c>
    </row>
    <row r="282" spans="1:10" x14ac:dyDescent="0.35">
      <c r="A282">
        <v>281</v>
      </c>
      <c r="B282" s="1">
        <v>45069</v>
      </c>
      <c r="C282" t="s">
        <v>294</v>
      </c>
      <c r="D282" t="s">
        <v>13</v>
      </c>
      <c r="E282">
        <v>29</v>
      </c>
      <c r="F282" t="str" cm="1">
        <f t="array" ref="F282">_xlfn.IFS(E282&lt;=35, "18-35", E282&lt;=50, "36-50", E282&lt;=65, "51-65", TRUE, "Over 65")</f>
        <v>18-35</v>
      </c>
      <c r="G282" t="s">
        <v>11</v>
      </c>
      <c r="H282">
        <v>4</v>
      </c>
      <c r="I282" s="2">
        <v>500</v>
      </c>
      <c r="J282" s="2">
        <v>2000</v>
      </c>
    </row>
    <row r="283" spans="1:10" x14ac:dyDescent="0.35">
      <c r="A283">
        <v>282</v>
      </c>
      <c r="B283" s="1">
        <v>45163</v>
      </c>
      <c r="C283" t="s">
        <v>295</v>
      </c>
      <c r="D283" t="s">
        <v>13</v>
      </c>
      <c r="E283">
        <v>64</v>
      </c>
      <c r="F283" t="str" cm="1">
        <f t="array" ref="F283">_xlfn.IFS(E283&lt;=35, "18-35", E283&lt;=50, "36-50", E283&lt;=65, "51-65", TRUE, "Over 65")</f>
        <v>51-65</v>
      </c>
      <c r="G283" t="s">
        <v>16</v>
      </c>
      <c r="H283">
        <v>4</v>
      </c>
      <c r="I283" s="2">
        <v>50</v>
      </c>
      <c r="J283" s="2">
        <v>200</v>
      </c>
    </row>
    <row r="284" spans="1:10" x14ac:dyDescent="0.35">
      <c r="A284">
        <v>283</v>
      </c>
      <c r="B284" s="1">
        <v>45054</v>
      </c>
      <c r="C284" t="s">
        <v>296</v>
      </c>
      <c r="D284" t="s">
        <v>13</v>
      </c>
      <c r="E284">
        <v>18</v>
      </c>
      <c r="F284" t="str" cm="1">
        <f t="array" ref="F284">_xlfn.IFS(E284&lt;=35, "18-35", E284&lt;=50, "36-50", E284&lt;=65, "51-65", TRUE, "Over 65")</f>
        <v>18-35</v>
      </c>
      <c r="G284" t="s">
        <v>16</v>
      </c>
      <c r="H284">
        <v>1</v>
      </c>
      <c r="I284" s="2">
        <v>500</v>
      </c>
      <c r="J284" s="2">
        <v>500</v>
      </c>
    </row>
    <row r="285" spans="1:10" x14ac:dyDescent="0.35">
      <c r="A285">
        <v>284</v>
      </c>
      <c r="B285" s="1">
        <v>44965</v>
      </c>
      <c r="C285" t="s">
        <v>297</v>
      </c>
      <c r="D285" t="s">
        <v>10</v>
      </c>
      <c r="E285">
        <v>43</v>
      </c>
      <c r="F285" t="str" cm="1">
        <f t="array" ref="F285">_xlfn.IFS(E285&lt;=35, "18-35", E285&lt;=50, "36-50", E285&lt;=65, "51-65", TRUE, "Over 65")</f>
        <v>36-50</v>
      </c>
      <c r="G285" t="s">
        <v>14</v>
      </c>
      <c r="H285">
        <v>4</v>
      </c>
      <c r="I285" s="2">
        <v>50</v>
      </c>
      <c r="J285" s="2">
        <v>200</v>
      </c>
    </row>
    <row r="286" spans="1:10" x14ac:dyDescent="0.35">
      <c r="A286">
        <v>285</v>
      </c>
      <c r="B286" s="1">
        <v>45153</v>
      </c>
      <c r="C286" t="s">
        <v>298</v>
      </c>
      <c r="D286" t="s">
        <v>13</v>
      </c>
      <c r="E286">
        <v>31</v>
      </c>
      <c r="F286" t="str" cm="1">
        <f t="array" ref="F286">_xlfn.IFS(E286&lt;=35, "18-35", E286&lt;=50, "36-50", E286&lt;=65, "51-65", TRUE, "Over 65")</f>
        <v>18-35</v>
      </c>
      <c r="G286" t="s">
        <v>16</v>
      </c>
      <c r="H286">
        <v>1</v>
      </c>
      <c r="I286" s="2">
        <v>25</v>
      </c>
      <c r="J286" s="2">
        <v>25</v>
      </c>
    </row>
    <row r="287" spans="1:10" x14ac:dyDescent="0.35">
      <c r="A287">
        <v>286</v>
      </c>
      <c r="B287" s="1">
        <v>45208</v>
      </c>
      <c r="C287" t="s">
        <v>299</v>
      </c>
      <c r="D287" t="s">
        <v>10</v>
      </c>
      <c r="E287">
        <v>55</v>
      </c>
      <c r="F287" t="str" cm="1">
        <f t="array" ref="F287">_xlfn.IFS(E287&lt;=35, "18-35", E287&lt;=50, "36-50", E287&lt;=65, "51-65", TRUE, "Over 65")</f>
        <v>51-65</v>
      </c>
      <c r="G287" t="s">
        <v>16</v>
      </c>
      <c r="H287">
        <v>2</v>
      </c>
      <c r="I287" s="2">
        <v>25</v>
      </c>
      <c r="J287" s="2">
        <v>50</v>
      </c>
    </row>
    <row r="288" spans="1:10" x14ac:dyDescent="0.35">
      <c r="A288">
        <v>287</v>
      </c>
      <c r="B288" s="1">
        <v>44977</v>
      </c>
      <c r="C288" t="s">
        <v>300</v>
      </c>
      <c r="D288" t="s">
        <v>10</v>
      </c>
      <c r="E288">
        <v>54</v>
      </c>
      <c r="F288" t="str" cm="1">
        <f t="array" ref="F288">_xlfn.IFS(E288&lt;=35, "18-35", E288&lt;=50, "36-50", E288&lt;=65, "51-65", TRUE, "Over 65")</f>
        <v>51-65</v>
      </c>
      <c r="G288" t="s">
        <v>14</v>
      </c>
      <c r="H288">
        <v>4</v>
      </c>
      <c r="I288" s="2">
        <v>25</v>
      </c>
      <c r="J288" s="2">
        <v>100</v>
      </c>
    </row>
    <row r="289" spans="1:10" x14ac:dyDescent="0.35">
      <c r="A289">
        <v>288</v>
      </c>
      <c r="B289" s="1">
        <v>44952</v>
      </c>
      <c r="C289" t="s">
        <v>301</v>
      </c>
      <c r="D289" t="s">
        <v>10</v>
      </c>
      <c r="E289">
        <v>28</v>
      </c>
      <c r="F289" t="str" cm="1">
        <f t="array" ref="F289">_xlfn.IFS(E289&lt;=35, "18-35", E289&lt;=50, "36-50", E289&lt;=65, "51-65", TRUE, "Over 65")</f>
        <v>18-35</v>
      </c>
      <c r="G289" t="s">
        <v>14</v>
      </c>
      <c r="H289">
        <v>4</v>
      </c>
      <c r="I289" s="2">
        <v>30</v>
      </c>
      <c r="J289" s="2">
        <v>120</v>
      </c>
    </row>
    <row r="290" spans="1:10" x14ac:dyDescent="0.35">
      <c r="A290">
        <v>289</v>
      </c>
      <c r="B290" s="1">
        <v>45260</v>
      </c>
      <c r="C290" t="s">
        <v>302</v>
      </c>
      <c r="D290" t="s">
        <v>10</v>
      </c>
      <c r="E290">
        <v>53</v>
      </c>
      <c r="F290" t="str" cm="1">
        <f t="array" ref="F290">_xlfn.IFS(E290&lt;=35, "18-35", E290&lt;=50, "36-50", E290&lt;=65, "51-65", TRUE, "Over 65")</f>
        <v>51-65</v>
      </c>
      <c r="G290" t="s">
        <v>16</v>
      </c>
      <c r="H290">
        <v>2</v>
      </c>
      <c r="I290" s="2">
        <v>30</v>
      </c>
      <c r="J290" s="2">
        <v>60</v>
      </c>
    </row>
    <row r="291" spans="1:10" x14ac:dyDescent="0.35">
      <c r="A291">
        <v>290</v>
      </c>
      <c r="B291" s="1">
        <v>45203</v>
      </c>
      <c r="C291" t="s">
        <v>303</v>
      </c>
      <c r="D291" t="s">
        <v>13</v>
      </c>
      <c r="E291">
        <v>30</v>
      </c>
      <c r="F291" t="str" cm="1">
        <f t="array" ref="F291">_xlfn.IFS(E291&lt;=35, "18-35", E291&lt;=50, "36-50", E291&lt;=65, "51-65", TRUE, "Over 65")</f>
        <v>18-35</v>
      </c>
      <c r="G291" t="s">
        <v>11</v>
      </c>
      <c r="H291">
        <v>2</v>
      </c>
      <c r="I291" s="2">
        <v>300</v>
      </c>
      <c r="J291" s="2">
        <v>600</v>
      </c>
    </row>
    <row r="292" spans="1:10" x14ac:dyDescent="0.35">
      <c r="A292">
        <v>291</v>
      </c>
      <c r="B292" s="1">
        <v>44934</v>
      </c>
      <c r="C292" t="s">
        <v>304</v>
      </c>
      <c r="D292" t="s">
        <v>10</v>
      </c>
      <c r="E292">
        <v>60</v>
      </c>
      <c r="F292" t="str" cm="1">
        <f t="array" ref="F292">_xlfn.IFS(E292&lt;=35, "18-35", E292&lt;=50, "36-50", E292&lt;=65, "51-65", TRUE, "Over 65")</f>
        <v>51-65</v>
      </c>
      <c r="G292" t="s">
        <v>14</v>
      </c>
      <c r="H292">
        <v>2</v>
      </c>
      <c r="I292" s="2">
        <v>300</v>
      </c>
      <c r="J292" s="2">
        <v>600</v>
      </c>
    </row>
    <row r="293" spans="1:10" x14ac:dyDescent="0.35">
      <c r="A293">
        <v>292</v>
      </c>
      <c r="B293" s="1">
        <v>44974</v>
      </c>
      <c r="C293" t="s">
        <v>305</v>
      </c>
      <c r="D293" t="s">
        <v>10</v>
      </c>
      <c r="E293">
        <v>20</v>
      </c>
      <c r="F293" t="str" cm="1">
        <f t="array" ref="F293">_xlfn.IFS(E293&lt;=35, "18-35", E293&lt;=50, "36-50", E293&lt;=65, "51-65", TRUE, "Over 65")</f>
        <v>18-35</v>
      </c>
      <c r="G293" t="s">
        <v>11</v>
      </c>
      <c r="H293">
        <v>4</v>
      </c>
      <c r="I293" s="2">
        <v>300</v>
      </c>
      <c r="J293" s="2">
        <v>1200</v>
      </c>
    </row>
    <row r="294" spans="1:10" x14ac:dyDescent="0.35">
      <c r="A294">
        <v>293</v>
      </c>
      <c r="B294" s="1">
        <v>45048</v>
      </c>
      <c r="C294" t="s">
        <v>306</v>
      </c>
      <c r="D294" t="s">
        <v>10</v>
      </c>
      <c r="E294">
        <v>50</v>
      </c>
      <c r="F294" t="str" cm="1">
        <f t="array" ref="F294">_xlfn.IFS(E294&lt;=35, "18-35", E294&lt;=50, "36-50", E294&lt;=65, "51-65", TRUE, "Over 65")</f>
        <v>36-50</v>
      </c>
      <c r="G294" t="s">
        <v>16</v>
      </c>
      <c r="H294">
        <v>3</v>
      </c>
      <c r="I294" s="2">
        <v>30</v>
      </c>
      <c r="J294" s="2">
        <v>90</v>
      </c>
    </row>
    <row r="295" spans="1:10" x14ac:dyDescent="0.35">
      <c r="A295">
        <v>294</v>
      </c>
      <c r="B295" s="1">
        <v>45012</v>
      </c>
      <c r="C295" t="s">
        <v>307</v>
      </c>
      <c r="D295" t="s">
        <v>13</v>
      </c>
      <c r="E295">
        <v>23</v>
      </c>
      <c r="F295" t="str" cm="1">
        <f t="array" ref="F295">_xlfn.IFS(E295&lt;=35, "18-35", E295&lt;=50, "36-50", E295&lt;=65, "51-65", TRUE, "Over 65")</f>
        <v>18-35</v>
      </c>
      <c r="G295" t="s">
        <v>14</v>
      </c>
      <c r="H295">
        <v>3</v>
      </c>
      <c r="I295" s="2">
        <v>30</v>
      </c>
      <c r="J295" s="2">
        <v>90</v>
      </c>
    </row>
    <row r="296" spans="1:10" x14ac:dyDescent="0.35">
      <c r="A296">
        <v>295</v>
      </c>
      <c r="B296" s="1">
        <v>45135</v>
      </c>
      <c r="C296" t="s">
        <v>308</v>
      </c>
      <c r="D296" t="s">
        <v>13</v>
      </c>
      <c r="E296">
        <v>27</v>
      </c>
      <c r="F296" t="str" cm="1">
        <f t="array" ref="F296">_xlfn.IFS(E296&lt;=35, "18-35", E296&lt;=50, "36-50", E296&lt;=65, "51-65", TRUE, "Over 65")</f>
        <v>18-35</v>
      </c>
      <c r="G296" t="s">
        <v>11</v>
      </c>
      <c r="H296">
        <v>3</v>
      </c>
      <c r="I296" s="2">
        <v>300</v>
      </c>
      <c r="J296" s="2">
        <v>900</v>
      </c>
    </row>
    <row r="297" spans="1:10" x14ac:dyDescent="0.35">
      <c r="A297">
        <v>296</v>
      </c>
      <c r="B297" s="1">
        <v>45175</v>
      </c>
      <c r="C297" t="s">
        <v>309</v>
      </c>
      <c r="D297" t="s">
        <v>13</v>
      </c>
      <c r="E297">
        <v>22</v>
      </c>
      <c r="F297" t="str" cm="1">
        <f t="array" ref="F297">_xlfn.IFS(E297&lt;=35, "18-35", E297&lt;=50, "36-50", E297&lt;=65, "51-65", TRUE, "Over 65")</f>
        <v>18-35</v>
      </c>
      <c r="G297" t="s">
        <v>14</v>
      </c>
      <c r="H297">
        <v>4</v>
      </c>
      <c r="I297" s="2">
        <v>300</v>
      </c>
      <c r="J297" s="2">
        <v>1200</v>
      </c>
    </row>
    <row r="298" spans="1:10" x14ac:dyDescent="0.35">
      <c r="A298">
        <v>297</v>
      </c>
      <c r="B298" s="1">
        <v>45173</v>
      </c>
      <c r="C298" t="s">
        <v>310</v>
      </c>
      <c r="D298" t="s">
        <v>13</v>
      </c>
      <c r="E298">
        <v>40</v>
      </c>
      <c r="F298" t="str" cm="1">
        <f t="array" ref="F298">_xlfn.IFS(E298&lt;=35, "18-35", E298&lt;=50, "36-50", E298&lt;=65, "51-65", TRUE, "Over 65")</f>
        <v>36-50</v>
      </c>
      <c r="G298" t="s">
        <v>16</v>
      </c>
      <c r="H298">
        <v>2</v>
      </c>
      <c r="I298" s="2">
        <v>500</v>
      </c>
      <c r="J298" s="2">
        <v>1000</v>
      </c>
    </row>
    <row r="299" spans="1:10" x14ac:dyDescent="0.35">
      <c r="A299">
        <v>298</v>
      </c>
      <c r="B299" s="1">
        <v>45036</v>
      </c>
      <c r="C299" t="s">
        <v>311</v>
      </c>
      <c r="D299" t="s">
        <v>10</v>
      </c>
      <c r="E299">
        <v>27</v>
      </c>
      <c r="F299" t="str" cm="1">
        <f t="array" ref="F299">_xlfn.IFS(E299&lt;=35, "18-35", E299&lt;=50, "36-50", E299&lt;=65, "51-65", TRUE, "Over 65")</f>
        <v>18-35</v>
      </c>
      <c r="G299" t="s">
        <v>11</v>
      </c>
      <c r="H299">
        <v>4</v>
      </c>
      <c r="I299" s="2">
        <v>300</v>
      </c>
      <c r="J299" s="2">
        <v>1200</v>
      </c>
    </row>
    <row r="300" spans="1:10" x14ac:dyDescent="0.35">
      <c r="A300">
        <v>299</v>
      </c>
      <c r="B300" s="1">
        <v>45132</v>
      </c>
      <c r="C300" t="s">
        <v>312</v>
      </c>
      <c r="D300" t="s">
        <v>10</v>
      </c>
      <c r="E300">
        <v>61</v>
      </c>
      <c r="F300" t="str" cm="1">
        <f t="array" ref="F300">_xlfn.IFS(E300&lt;=35, "18-35", E300&lt;=50, "36-50", E300&lt;=65, "51-65", TRUE, "Over 65")</f>
        <v>51-65</v>
      </c>
      <c r="G300" t="s">
        <v>16</v>
      </c>
      <c r="H300">
        <v>2</v>
      </c>
      <c r="I300" s="2">
        <v>500</v>
      </c>
      <c r="J300" s="2">
        <v>1000</v>
      </c>
    </row>
    <row r="301" spans="1:10" x14ac:dyDescent="0.35">
      <c r="A301">
        <v>300</v>
      </c>
      <c r="B301" s="1">
        <v>44957</v>
      </c>
      <c r="C301" t="s">
        <v>313</v>
      </c>
      <c r="D301" t="s">
        <v>13</v>
      </c>
      <c r="E301">
        <v>19</v>
      </c>
      <c r="F301" t="str" cm="1">
        <f t="array" ref="F301">_xlfn.IFS(E301&lt;=35, "18-35", E301&lt;=50, "36-50", E301&lt;=65, "51-65", TRUE, "Over 65")</f>
        <v>18-35</v>
      </c>
      <c r="G301" t="s">
        <v>16</v>
      </c>
      <c r="H301">
        <v>4</v>
      </c>
      <c r="I301" s="2">
        <v>50</v>
      </c>
      <c r="J301" s="2">
        <v>200</v>
      </c>
    </row>
    <row r="302" spans="1:10" x14ac:dyDescent="0.35">
      <c r="A302">
        <v>301</v>
      </c>
      <c r="B302" s="1">
        <v>45011</v>
      </c>
      <c r="C302" t="s">
        <v>314</v>
      </c>
      <c r="D302" t="s">
        <v>10</v>
      </c>
      <c r="E302">
        <v>30</v>
      </c>
      <c r="F302" t="str" cm="1">
        <f t="array" ref="F302">_xlfn.IFS(E302&lt;=35, "18-35", E302&lt;=50, "36-50", E302&lt;=65, "51-65", TRUE, "Over 65")</f>
        <v>18-35</v>
      </c>
      <c r="G302" t="s">
        <v>14</v>
      </c>
      <c r="H302">
        <v>4</v>
      </c>
      <c r="I302" s="2">
        <v>30</v>
      </c>
      <c r="J302" s="2">
        <v>120</v>
      </c>
    </row>
    <row r="303" spans="1:10" x14ac:dyDescent="0.35">
      <c r="A303">
        <v>302</v>
      </c>
      <c r="B303" s="1">
        <v>45121</v>
      </c>
      <c r="C303" t="s">
        <v>315</v>
      </c>
      <c r="D303" t="s">
        <v>10</v>
      </c>
      <c r="E303">
        <v>57</v>
      </c>
      <c r="F303" t="str" cm="1">
        <f t="array" ref="F303">_xlfn.IFS(E303&lt;=35, "18-35", E303&lt;=50, "36-50", E303&lt;=65, "51-65", TRUE, "Over 65")</f>
        <v>51-65</v>
      </c>
      <c r="G303" t="s">
        <v>11</v>
      </c>
      <c r="H303">
        <v>2</v>
      </c>
      <c r="I303" s="2">
        <v>300</v>
      </c>
      <c r="J303" s="2">
        <v>600</v>
      </c>
    </row>
    <row r="304" spans="1:10" x14ac:dyDescent="0.35">
      <c r="A304">
        <v>303</v>
      </c>
      <c r="B304" s="1">
        <v>44928</v>
      </c>
      <c r="C304" t="s">
        <v>316</v>
      </c>
      <c r="D304" t="s">
        <v>10</v>
      </c>
      <c r="E304">
        <v>19</v>
      </c>
      <c r="F304" t="str" cm="1">
        <f t="array" ref="F304">_xlfn.IFS(E304&lt;=35, "18-35", E304&lt;=50, "36-50", E304&lt;=65, "51-65", TRUE, "Over 65")</f>
        <v>18-35</v>
      </c>
      <c r="G304" t="s">
        <v>16</v>
      </c>
      <c r="H304">
        <v>3</v>
      </c>
      <c r="I304" s="2">
        <v>30</v>
      </c>
      <c r="J304" s="2">
        <v>90</v>
      </c>
    </row>
    <row r="305" spans="1:10" x14ac:dyDescent="0.35">
      <c r="A305">
        <v>304</v>
      </c>
      <c r="B305" s="1">
        <v>45126</v>
      </c>
      <c r="C305" t="s">
        <v>317</v>
      </c>
      <c r="D305" t="s">
        <v>13</v>
      </c>
      <c r="E305">
        <v>37</v>
      </c>
      <c r="F305" t="str" cm="1">
        <f t="array" ref="F305">_xlfn.IFS(E305&lt;=35, "18-35", E305&lt;=50, "36-50", E305&lt;=65, "51-65", TRUE, "Over 65")</f>
        <v>36-50</v>
      </c>
      <c r="G305" t="s">
        <v>16</v>
      </c>
      <c r="H305">
        <v>2</v>
      </c>
      <c r="I305" s="2">
        <v>30</v>
      </c>
      <c r="J305" s="2">
        <v>60</v>
      </c>
    </row>
    <row r="306" spans="1:10" x14ac:dyDescent="0.35">
      <c r="A306">
        <v>305</v>
      </c>
      <c r="B306" s="1">
        <v>45062</v>
      </c>
      <c r="C306" t="s">
        <v>318</v>
      </c>
      <c r="D306" t="s">
        <v>13</v>
      </c>
      <c r="E306">
        <v>18</v>
      </c>
      <c r="F306" t="str" cm="1">
        <f t="array" ref="F306">_xlfn.IFS(E306&lt;=35, "18-35", E306&lt;=50, "36-50", E306&lt;=65, "51-65", TRUE, "Over 65")</f>
        <v>18-35</v>
      </c>
      <c r="G306" t="s">
        <v>11</v>
      </c>
      <c r="H306">
        <v>1</v>
      </c>
      <c r="I306" s="2">
        <v>30</v>
      </c>
      <c r="J306" s="2">
        <v>30</v>
      </c>
    </row>
    <row r="307" spans="1:10" x14ac:dyDescent="0.35">
      <c r="A307">
        <v>306</v>
      </c>
      <c r="B307" s="1">
        <v>45159</v>
      </c>
      <c r="C307" t="s">
        <v>319</v>
      </c>
      <c r="D307" t="s">
        <v>10</v>
      </c>
      <c r="E307">
        <v>54</v>
      </c>
      <c r="F307" t="str" cm="1">
        <f t="array" ref="F307">_xlfn.IFS(E307&lt;=35, "18-35", E307&lt;=50, "36-50", E307&lt;=65, "51-65", TRUE, "Over 65")</f>
        <v>51-65</v>
      </c>
      <c r="G307" t="s">
        <v>16</v>
      </c>
      <c r="H307">
        <v>1</v>
      </c>
      <c r="I307" s="2">
        <v>50</v>
      </c>
      <c r="J307" s="2">
        <v>50</v>
      </c>
    </row>
    <row r="308" spans="1:10" x14ac:dyDescent="0.35">
      <c r="A308">
        <v>307</v>
      </c>
      <c r="B308" s="1">
        <v>45073</v>
      </c>
      <c r="C308" t="s">
        <v>320</v>
      </c>
      <c r="D308" t="s">
        <v>13</v>
      </c>
      <c r="E308">
        <v>26</v>
      </c>
      <c r="F308" t="str" cm="1">
        <f t="array" ref="F308">_xlfn.IFS(E308&lt;=35, "18-35", E308&lt;=50, "36-50", E308&lt;=65, "51-65", TRUE, "Over 65")</f>
        <v>18-35</v>
      </c>
      <c r="G308" t="s">
        <v>16</v>
      </c>
      <c r="H308">
        <v>2</v>
      </c>
      <c r="I308" s="2">
        <v>25</v>
      </c>
      <c r="J308" s="2">
        <v>50</v>
      </c>
    </row>
    <row r="309" spans="1:10" x14ac:dyDescent="0.35">
      <c r="A309">
        <v>308</v>
      </c>
      <c r="B309" s="1">
        <v>45143</v>
      </c>
      <c r="C309" t="s">
        <v>321</v>
      </c>
      <c r="D309" t="s">
        <v>13</v>
      </c>
      <c r="E309">
        <v>34</v>
      </c>
      <c r="F309" t="str" cm="1">
        <f t="array" ref="F309">_xlfn.IFS(E309&lt;=35, "18-35", E309&lt;=50, "36-50", E309&lt;=65, "51-65", TRUE, "Over 65")</f>
        <v>18-35</v>
      </c>
      <c r="G309" t="s">
        <v>11</v>
      </c>
      <c r="H309">
        <v>4</v>
      </c>
      <c r="I309" s="2">
        <v>300</v>
      </c>
      <c r="J309" s="2">
        <v>1200</v>
      </c>
    </row>
    <row r="310" spans="1:10" x14ac:dyDescent="0.35">
      <c r="A310">
        <v>309</v>
      </c>
      <c r="B310" s="1">
        <v>45283</v>
      </c>
      <c r="C310" t="s">
        <v>322</v>
      </c>
      <c r="D310" t="s">
        <v>13</v>
      </c>
      <c r="E310">
        <v>26</v>
      </c>
      <c r="F310" t="str" cm="1">
        <f t="array" ref="F310">_xlfn.IFS(E310&lt;=35, "18-35", E310&lt;=50, "36-50", E310&lt;=65, "51-65", TRUE, "Over 65")</f>
        <v>18-35</v>
      </c>
      <c r="G310" t="s">
        <v>11</v>
      </c>
      <c r="H310">
        <v>1</v>
      </c>
      <c r="I310" s="2">
        <v>25</v>
      </c>
      <c r="J310" s="2">
        <v>25</v>
      </c>
    </row>
    <row r="311" spans="1:10" x14ac:dyDescent="0.35">
      <c r="A311">
        <v>310</v>
      </c>
      <c r="B311" s="1">
        <v>45211</v>
      </c>
      <c r="C311" t="s">
        <v>323</v>
      </c>
      <c r="D311" t="s">
        <v>13</v>
      </c>
      <c r="E311">
        <v>28</v>
      </c>
      <c r="F311" t="str" cm="1">
        <f t="array" ref="F311">_xlfn.IFS(E311&lt;=35, "18-35", E311&lt;=50, "36-50", E311&lt;=65, "51-65", TRUE, "Over 65")</f>
        <v>18-35</v>
      </c>
      <c r="G311" t="s">
        <v>11</v>
      </c>
      <c r="H311">
        <v>1</v>
      </c>
      <c r="I311" s="2">
        <v>25</v>
      </c>
      <c r="J311" s="2">
        <v>25</v>
      </c>
    </row>
    <row r="312" spans="1:10" x14ac:dyDescent="0.35">
      <c r="A312">
        <v>311</v>
      </c>
      <c r="B312" s="1">
        <v>45265</v>
      </c>
      <c r="C312" t="s">
        <v>324</v>
      </c>
      <c r="D312" t="s">
        <v>13</v>
      </c>
      <c r="E312">
        <v>32</v>
      </c>
      <c r="F312" t="str" cm="1">
        <f t="array" ref="F312">_xlfn.IFS(E312&lt;=35, "18-35", E312&lt;=50, "36-50", E312&lt;=65, "51-65", TRUE, "Over 65")</f>
        <v>18-35</v>
      </c>
      <c r="G312" t="s">
        <v>11</v>
      </c>
      <c r="H312">
        <v>4</v>
      </c>
      <c r="I312" s="2">
        <v>25</v>
      </c>
      <c r="J312" s="2">
        <v>100</v>
      </c>
    </row>
    <row r="313" spans="1:10" x14ac:dyDescent="0.35">
      <c r="A313">
        <v>312</v>
      </c>
      <c r="B313" s="1">
        <v>45176</v>
      </c>
      <c r="C313" t="s">
        <v>325</v>
      </c>
      <c r="D313" t="s">
        <v>10</v>
      </c>
      <c r="E313">
        <v>41</v>
      </c>
      <c r="F313" t="str" cm="1">
        <f t="array" ref="F313">_xlfn.IFS(E313&lt;=35, "18-35", E313&lt;=50, "36-50", E313&lt;=65, "51-65", TRUE, "Over 65")</f>
        <v>36-50</v>
      </c>
      <c r="G313" t="s">
        <v>14</v>
      </c>
      <c r="H313">
        <v>4</v>
      </c>
      <c r="I313" s="2">
        <v>30</v>
      </c>
      <c r="J313" s="2">
        <v>120</v>
      </c>
    </row>
    <row r="314" spans="1:10" x14ac:dyDescent="0.35">
      <c r="A314">
        <v>313</v>
      </c>
      <c r="B314" s="1">
        <v>45006</v>
      </c>
      <c r="C314" t="s">
        <v>326</v>
      </c>
      <c r="D314" t="s">
        <v>13</v>
      </c>
      <c r="E314">
        <v>55</v>
      </c>
      <c r="F314" t="str" cm="1">
        <f t="array" ref="F314">_xlfn.IFS(E314&lt;=35, "18-35", E314&lt;=50, "36-50", E314&lt;=65, "51-65", TRUE, "Over 65")</f>
        <v>51-65</v>
      </c>
      <c r="G314" t="s">
        <v>11</v>
      </c>
      <c r="H314">
        <v>3</v>
      </c>
      <c r="I314" s="2">
        <v>500</v>
      </c>
      <c r="J314" s="2">
        <v>1500</v>
      </c>
    </row>
    <row r="315" spans="1:10" x14ac:dyDescent="0.35">
      <c r="A315">
        <v>314</v>
      </c>
      <c r="B315" s="1">
        <v>45024</v>
      </c>
      <c r="C315" t="s">
        <v>327</v>
      </c>
      <c r="D315" t="s">
        <v>10</v>
      </c>
      <c r="E315">
        <v>52</v>
      </c>
      <c r="F315" t="str" cm="1">
        <f t="array" ref="F315">_xlfn.IFS(E315&lt;=35, "18-35", E315&lt;=50, "36-50", E315&lt;=65, "51-65", TRUE, "Over 65")</f>
        <v>51-65</v>
      </c>
      <c r="G315" t="s">
        <v>14</v>
      </c>
      <c r="H315">
        <v>4</v>
      </c>
      <c r="I315" s="2">
        <v>30</v>
      </c>
      <c r="J315" s="2">
        <v>120</v>
      </c>
    </row>
    <row r="316" spans="1:10" x14ac:dyDescent="0.35">
      <c r="A316">
        <v>315</v>
      </c>
      <c r="B316" s="1">
        <v>45078</v>
      </c>
      <c r="C316" t="s">
        <v>328</v>
      </c>
      <c r="D316" t="s">
        <v>10</v>
      </c>
      <c r="E316">
        <v>47</v>
      </c>
      <c r="F316" t="str" cm="1">
        <f t="array" ref="F316">_xlfn.IFS(E316&lt;=35, "18-35", E316&lt;=50, "36-50", E316&lt;=65, "51-65", TRUE, "Over 65")</f>
        <v>36-50</v>
      </c>
      <c r="G316" t="s">
        <v>14</v>
      </c>
      <c r="H316">
        <v>2</v>
      </c>
      <c r="I316" s="2">
        <v>30</v>
      </c>
      <c r="J316" s="2">
        <v>60</v>
      </c>
    </row>
    <row r="317" spans="1:10" x14ac:dyDescent="0.35">
      <c r="A317">
        <v>316</v>
      </c>
      <c r="B317" s="1">
        <v>45038</v>
      </c>
      <c r="C317" t="s">
        <v>329</v>
      </c>
      <c r="D317" t="s">
        <v>13</v>
      </c>
      <c r="E317">
        <v>48</v>
      </c>
      <c r="F317" t="str" cm="1">
        <f t="array" ref="F317">_xlfn.IFS(E317&lt;=35, "18-35", E317&lt;=50, "36-50", E317&lt;=65, "51-65", TRUE, "Over 65")</f>
        <v>36-50</v>
      </c>
      <c r="G317" t="s">
        <v>14</v>
      </c>
      <c r="H317">
        <v>2</v>
      </c>
      <c r="I317" s="2">
        <v>25</v>
      </c>
      <c r="J317" s="2">
        <v>50</v>
      </c>
    </row>
    <row r="318" spans="1:10" x14ac:dyDescent="0.35">
      <c r="A318">
        <v>317</v>
      </c>
      <c r="B318" s="1">
        <v>44956</v>
      </c>
      <c r="C318" t="s">
        <v>330</v>
      </c>
      <c r="D318" t="s">
        <v>10</v>
      </c>
      <c r="E318">
        <v>22</v>
      </c>
      <c r="F318" t="str" cm="1">
        <f t="array" ref="F318">_xlfn.IFS(E318&lt;=35, "18-35", E318&lt;=50, "36-50", E318&lt;=65, "51-65", TRUE, "Over 65")</f>
        <v>18-35</v>
      </c>
      <c r="G318" t="s">
        <v>16</v>
      </c>
      <c r="H318">
        <v>3</v>
      </c>
      <c r="I318" s="2">
        <v>30</v>
      </c>
      <c r="J318" s="2">
        <v>90</v>
      </c>
    </row>
    <row r="319" spans="1:10" x14ac:dyDescent="0.35">
      <c r="A319">
        <v>318</v>
      </c>
      <c r="B319" s="1">
        <v>45223</v>
      </c>
      <c r="C319" t="s">
        <v>331</v>
      </c>
      <c r="D319" t="s">
        <v>10</v>
      </c>
      <c r="E319">
        <v>61</v>
      </c>
      <c r="F319" t="str" cm="1">
        <f t="array" ref="F319">_xlfn.IFS(E319&lt;=35, "18-35", E319&lt;=50, "36-50", E319&lt;=65, "51-65", TRUE, "Over 65")</f>
        <v>51-65</v>
      </c>
      <c r="G319" t="s">
        <v>14</v>
      </c>
      <c r="H319">
        <v>1</v>
      </c>
      <c r="I319" s="2">
        <v>25</v>
      </c>
      <c r="J319" s="2">
        <v>25</v>
      </c>
    </row>
    <row r="320" spans="1:10" x14ac:dyDescent="0.35">
      <c r="A320">
        <v>319</v>
      </c>
      <c r="B320" s="1">
        <v>45204</v>
      </c>
      <c r="C320" t="s">
        <v>332</v>
      </c>
      <c r="D320" t="s">
        <v>10</v>
      </c>
      <c r="E320">
        <v>31</v>
      </c>
      <c r="F320" t="str" cm="1">
        <f t="array" ref="F320">_xlfn.IFS(E320&lt;=35, "18-35", E320&lt;=50, "36-50", E320&lt;=65, "51-65", TRUE, "Over 65")</f>
        <v>18-35</v>
      </c>
      <c r="G320" t="s">
        <v>14</v>
      </c>
      <c r="H320">
        <v>1</v>
      </c>
      <c r="I320" s="2">
        <v>500</v>
      </c>
      <c r="J320" s="2">
        <v>500</v>
      </c>
    </row>
    <row r="321" spans="1:10" x14ac:dyDescent="0.35">
      <c r="A321">
        <v>320</v>
      </c>
      <c r="B321" s="1">
        <v>44958</v>
      </c>
      <c r="C321" t="s">
        <v>333</v>
      </c>
      <c r="D321" t="s">
        <v>13</v>
      </c>
      <c r="E321">
        <v>28</v>
      </c>
      <c r="F321" t="str" cm="1">
        <f t="array" ref="F321">_xlfn.IFS(E321&lt;=35, "18-35", E321&lt;=50, "36-50", E321&lt;=65, "51-65", TRUE, "Over 65")</f>
        <v>18-35</v>
      </c>
      <c r="G321" t="s">
        <v>16</v>
      </c>
      <c r="H321">
        <v>4</v>
      </c>
      <c r="I321" s="2">
        <v>300</v>
      </c>
      <c r="J321" s="2">
        <v>1200</v>
      </c>
    </row>
    <row r="322" spans="1:10" x14ac:dyDescent="0.35">
      <c r="A322">
        <v>321</v>
      </c>
      <c r="B322" s="1">
        <v>45087</v>
      </c>
      <c r="C322" t="s">
        <v>334</v>
      </c>
      <c r="D322" t="s">
        <v>13</v>
      </c>
      <c r="E322">
        <v>26</v>
      </c>
      <c r="F322" t="str" cm="1">
        <f t="array" ref="F322">_xlfn.IFS(E322&lt;=35, "18-35", E322&lt;=50, "36-50", E322&lt;=65, "51-65", TRUE, "Over 65")</f>
        <v>18-35</v>
      </c>
      <c r="G322" t="s">
        <v>16</v>
      </c>
      <c r="H322">
        <v>2</v>
      </c>
      <c r="I322" s="2">
        <v>25</v>
      </c>
      <c r="J322" s="2">
        <v>50</v>
      </c>
    </row>
    <row r="323" spans="1:10" x14ac:dyDescent="0.35">
      <c r="A323">
        <v>322</v>
      </c>
      <c r="B323" s="1">
        <v>44956</v>
      </c>
      <c r="C323" t="s">
        <v>335</v>
      </c>
      <c r="D323" t="s">
        <v>10</v>
      </c>
      <c r="E323">
        <v>51</v>
      </c>
      <c r="F323" t="str" cm="1">
        <f t="array" ref="F323">_xlfn.IFS(E323&lt;=35, "18-35", E323&lt;=50, "36-50", E323&lt;=65, "51-65", TRUE, "Over 65")</f>
        <v>51-65</v>
      </c>
      <c r="G323" t="s">
        <v>16</v>
      </c>
      <c r="H323">
        <v>1</v>
      </c>
      <c r="I323" s="2">
        <v>500</v>
      </c>
      <c r="J323" s="2">
        <v>500</v>
      </c>
    </row>
    <row r="324" spans="1:10" x14ac:dyDescent="0.35">
      <c r="A324">
        <v>323</v>
      </c>
      <c r="B324" s="1">
        <v>44952</v>
      </c>
      <c r="C324" t="s">
        <v>336</v>
      </c>
      <c r="D324" t="s">
        <v>13</v>
      </c>
      <c r="E324">
        <v>29</v>
      </c>
      <c r="F324" t="str" cm="1">
        <f t="array" ref="F324">_xlfn.IFS(E324&lt;=35, "18-35", E324&lt;=50, "36-50", E324&lt;=65, "51-65", TRUE, "Over 65")</f>
        <v>18-35</v>
      </c>
      <c r="G324" t="s">
        <v>11</v>
      </c>
      <c r="H324">
        <v>3</v>
      </c>
      <c r="I324" s="2">
        <v>300</v>
      </c>
      <c r="J324" s="2">
        <v>900</v>
      </c>
    </row>
    <row r="325" spans="1:10" x14ac:dyDescent="0.35">
      <c r="A325">
        <v>324</v>
      </c>
      <c r="B325" s="1">
        <v>45226</v>
      </c>
      <c r="C325" t="s">
        <v>337</v>
      </c>
      <c r="D325" t="s">
        <v>13</v>
      </c>
      <c r="E325">
        <v>52</v>
      </c>
      <c r="F325" t="str" cm="1">
        <f t="array" ref="F325">_xlfn.IFS(E325&lt;=35, "18-35", E325&lt;=50, "36-50", E325&lt;=65, "51-65", TRUE, "Over 65")</f>
        <v>51-65</v>
      </c>
      <c r="G325" t="s">
        <v>16</v>
      </c>
      <c r="H325">
        <v>3</v>
      </c>
      <c r="I325" s="2">
        <v>50</v>
      </c>
      <c r="J325" s="2">
        <v>150</v>
      </c>
    </row>
    <row r="326" spans="1:10" x14ac:dyDescent="0.35">
      <c r="A326">
        <v>325</v>
      </c>
      <c r="B326" s="1">
        <v>45171</v>
      </c>
      <c r="C326" t="s">
        <v>338</v>
      </c>
      <c r="D326" t="s">
        <v>13</v>
      </c>
      <c r="E326">
        <v>52</v>
      </c>
      <c r="F326" t="str" cm="1">
        <f t="array" ref="F326">_xlfn.IFS(E326&lt;=35, "18-35", E326&lt;=50, "36-50", E326&lt;=65, "51-65", TRUE, "Over 65")</f>
        <v>51-65</v>
      </c>
      <c r="G326" t="s">
        <v>16</v>
      </c>
      <c r="H326">
        <v>2</v>
      </c>
      <c r="I326" s="2">
        <v>25</v>
      </c>
      <c r="J326" s="2">
        <v>50</v>
      </c>
    </row>
    <row r="327" spans="1:10" x14ac:dyDescent="0.35">
      <c r="A327">
        <v>326</v>
      </c>
      <c r="B327" s="1">
        <v>45184</v>
      </c>
      <c r="C327" t="s">
        <v>339</v>
      </c>
      <c r="D327" t="s">
        <v>13</v>
      </c>
      <c r="E327">
        <v>18</v>
      </c>
      <c r="F327" t="str" cm="1">
        <f t="array" ref="F327">_xlfn.IFS(E327&lt;=35, "18-35", E327&lt;=50, "36-50", E327&lt;=65, "51-65", TRUE, "Over 65")</f>
        <v>18-35</v>
      </c>
      <c r="G327" t="s">
        <v>14</v>
      </c>
      <c r="H327">
        <v>3</v>
      </c>
      <c r="I327" s="2">
        <v>25</v>
      </c>
      <c r="J327" s="2">
        <v>75</v>
      </c>
    </row>
    <row r="328" spans="1:10" x14ac:dyDescent="0.35">
      <c r="A328">
        <v>327</v>
      </c>
      <c r="B328" s="1">
        <v>45198</v>
      </c>
      <c r="C328" t="s">
        <v>340</v>
      </c>
      <c r="D328" t="s">
        <v>10</v>
      </c>
      <c r="E328">
        <v>57</v>
      </c>
      <c r="F328" t="str" cm="1">
        <f t="array" ref="F328">_xlfn.IFS(E328&lt;=35, "18-35", E328&lt;=50, "36-50", E328&lt;=65, "51-65", TRUE, "Over 65")</f>
        <v>51-65</v>
      </c>
      <c r="G328" t="s">
        <v>16</v>
      </c>
      <c r="H328">
        <v>3</v>
      </c>
      <c r="I328" s="2">
        <v>50</v>
      </c>
      <c r="J328" s="2">
        <v>150</v>
      </c>
    </row>
    <row r="329" spans="1:10" x14ac:dyDescent="0.35">
      <c r="A329">
        <v>328</v>
      </c>
      <c r="B329" s="1">
        <v>45007</v>
      </c>
      <c r="C329" t="s">
        <v>341</v>
      </c>
      <c r="D329" t="s">
        <v>10</v>
      </c>
      <c r="E329">
        <v>39</v>
      </c>
      <c r="F329" t="str" cm="1">
        <f t="array" ref="F329">_xlfn.IFS(E329&lt;=35, "18-35", E329&lt;=50, "36-50", E329&lt;=65, "51-65", TRUE, "Over 65")</f>
        <v>36-50</v>
      </c>
      <c r="G329" t="s">
        <v>11</v>
      </c>
      <c r="H329">
        <v>2</v>
      </c>
      <c r="I329" s="2">
        <v>50</v>
      </c>
      <c r="J329" s="2">
        <v>100</v>
      </c>
    </row>
    <row r="330" spans="1:10" x14ac:dyDescent="0.35">
      <c r="A330">
        <v>329</v>
      </c>
      <c r="B330" s="1">
        <v>44956</v>
      </c>
      <c r="C330" t="s">
        <v>342</v>
      </c>
      <c r="D330" t="s">
        <v>13</v>
      </c>
      <c r="E330">
        <v>46</v>
      </c>
      <c r="F330" t="str" cm="1">
        <f t="array" ref="F330">_xlfn.IFS(E330&lt;=35, "18-35", E330&lt;=50, "36-50", E330&lt;=65, "51-65", TRUE, "Over 65")</f>
        <v>36-50</v>
      </c>
      <c r="G330" t="s">
        <v>16</v>
      </c>
      <c r="H330">
        <v>4</v>
      </c>
      <c r="I330" s="2">
        <v>25</v>
      </c>
      <c r="J330" s="2">
        <v>100</v>
      </c>
    </row>
    <row r="331" spans="1:10" x14ac:dyDescent="0.35">
      <c r="A331">
        <v>330</v>
      </c>
      <c r="B331" s="1">
        <v>45187</v>
      </c>
      <c r="C331" t="s">
        <v>343</v>
      </c>
      <c r="D331" t="s">
        <v>13</v>
      </c>
      <c r="E331">
        <v>25</v>
      </c>
      <c r="F331" t="str" cm="1">
        <f t="array" ref="F331">_xlfn.IFS(E331&lt;=35, "18-35", E331&lt;=50, "36-50", E331&lt;=65, "51-65", TRUE, "Over 65")</f>
        <v>18-35</v>
      </c>
      <c r="G331" t="s">
        <v>11</v>
      </c>
      <c r="H331">
        <v>4</v>
      </c>
      <c r="I331" s="2">
        <v>50</v>
      </c>
      <c r="J331" s="2">
        <v>200</v>
      </c>
    </row>
    <row r="332" spans="1:10" x14ac:dyDescent="0.35">
      <c r="A332">
        <v>331</v>
      </c>
      <c r="B332" s="1">
        <v>44968</v>
      </c>
      <c r="C332" t="s">
        <v>344</v>
      </c>
      <c r="D332" t="s">
        <v>10</v>
      </c>
      <c r="E332">
        <v>28</v>
      </c>
      <c r="F332" t="str" cm="1">
        <f t="array" ref="F332">_xlfn.IFS(E332&lt;=35, "18-35", E332&lt;=50, "36-50", E332&lt;=65, "51-65", TRUE, "Over 65")</f>
        <v>18-35</v>
      </c>
      <c r="G332" t="s">
        <v>16</v>
      </c>
      <c r="H332">
        <v>3</v>
      </c>
      <c r="I332" s="2">
        <v>30</v>
      </c>
      <c r="J332" s="2">
        <v>90</v>
      </c>
    </row>
    <row r="333" spans="1:10" x14ac:dyDescent="0.35">
      <c r="A333">
        <v>332</v>
      </c>
      <c r="B333" s="1">
        <v>45022</v>
      </c>
      <c r="C333" t="s">
        <v>345</v>
      </c>
      <c r="D333" t="s">
        <v>10</v>
      </c>
      <c r="E333">
        <v>58</v>
      </c>
      <c r="F333" t="str" cm="1">
        <f t="array" ref="F333">_xlfn.IFS(E333&lt;=35, "18-35", E333&lt;=50, "36-50", E333&lt;=65, "51-65", TRUE, "Over 65")</f>
        <v>51-65</v>
      </c>
      <c r="G333" t="s">
        <v>16</v>
      </c>
      <c r="H333">
        <v>4</v>
      </c>
      <c r="I333" s="2">
        <v>300</v>
      </c>
      <c r="J333" s="2">
        <v>1200</v>
      </c>
    </row>
    <row r="334" spans="1:10" x14ac:dyDescent="0.35">
      <c r="A334">
        <v>333</v>
      </c>
      <c r="B334" s="1">
        <v>44962</v>
      </c>
      <c r="C334" t="s">
        <v>346</v>
      </c>
      <c r="D334" t="s">
        <v>13</v>
      </c>
      <c r="E334">
        <v>54</v>
      </c>
      <c r="F334" t="str" cm="1">
        <f t="array" ref="F334">_xlfn.IFS(E334&lt;=35, "18-35", E334&lt;=50, "36-50", E334&lt;=65, "51-65", TRUE, "Over 65")</f>
        <v>51-65</v>
      </c>
      <c r="G334" t="s">
        <v>16</v>
      </c>
      <c r="H334">
        <v>4</v>
      </c>
      <c r="I334" s="2">
        <v>300</v>
      </c>
      <c r="J334" s="2">
        <v>1200</v>
      </c>
    </row>
    <row r="335" spans="1:10" x14ac:dyDescent="0.35">
      <c r="A335">
        <v>334</v>
      </c>
      <c r="B335" s="1">
        <v>45231</v>
      </c>
      <c r="C335" t="s">
        <v>347</v>
      </c>
      <c r="D335" t="s">
        <v>10</v>
      </c>
      <c r="E335">
        <v>31</v>
      </c>
      <c r="F335" t="str" cm="1">
        <f t="array" ref="F335">_xlfn.IFS(E335&lt;=35, "18-35", E335&lt;=50, "36-50", E335&lt;=65, "51-65", TRUE, "Over 65")</f>
        <v>18-35</v>
      </c>
      <c r="G335" t="s">
        <v>16</v>
      </c>
      <c r="H335">
        <v>3</v>
      </c>
      <c r="I335" s="2">
        <v>300</v>
      </c>
      <c r="J335" s="2">
        <v>900</v>
      </c>
    </row>
    <row r="336" spans="1:10" x14ac:dyDescent="0.35">
      <c r="A336">
        <v>335</v>
      </c>
      <c r="B336" s="1">
        <v>44961</v>
      </c>
      <c r="C336" t="s">
        <v>348</v>
      </c>
      <c r="D336" t="s">
        <v>13</v>
      </c>
      <c r="E336">
        <v>47</v>
      </c>
      <c r="F336" t="str" cm="1">
        <f t="array" ref="F336">_xlfn.IFS(E336&lt;=35, "18-35", E336&lt;=50, "36-50", E336&lt;=65, "51-65", TRUE, "Over 65")</f>
        <v>36-50</v>
      </c>
      <c r="G336" t="s">
        <v>11</v>
      </c>
      <c r="H336">
        <v>4</v>
      </c>
      <c r="I336" s="2">
        <v>30</v>
      </c>
      <c r="J336" s="2">
        <v>120</v>
      </c>
    </row>
    <row r="337" spans="1:10" x14ac:dyDescent="0.35">
      <c r="A337">
        <v>336</v>
      </c>
      <c r="B337" s="1">
        <v>45272</v>
      </c>
      <c r="C337" t="s">
        <v>349</v>
      </c>
      <c r="D337" t="s">
        <v>13</v>
      </c>
      <c r="E337">
        <v>52</v>
      </c>
      <c r="F337" t="str" cm="1">
        <f t="array" ref="F337">_xlfn.IFS(E337&lt;=35, "18-35", E337&lt;=50, "36-50", E337&lt;=65, "51-65", TRUE, "Over 65")</f>
        <v>51-65</v>
      </c>
      <c r="G337" t="s">
        <v>11</v>
      </c>
      <c r="H337">
        <v>3</v>
      </c>
      <c r="I337" s="2">
        <v>50</v>
      </c>
      <c r="J337" s="2">
        <v>150</v>
      </c>
    </row>
    <row r="338" spans="1:10" x14ac:dyDescent="0.35">
      <c r="A338">
        <v>337</v>
      </c>
      <c r="B338" s="1">
        <v>45047</v>
      </c>
      <c r="C338" t="s">
        <v>350</v>
      </c>
      <c r="D338" t="s">
        <v>10</v>
      </c>
      <c r="E338">
        <v>38</v>
      </c>
      <c r="F338" t="str" cm="1">
        <f t="array" ref="F338">_xlfn.IFS(E338&lt;=35, "18-35", E338&lt;=50, "36-50", E338&lt;=65, "51-65", TRUE, "Over 65")</f>
        <v>36-50</v>
      </c>
      <c r="G338" t="s">
        <v>14</v>
      </c>
      <c r="H338">
        <v>1</v>
      </c>
      <c r="I338" s="2">
        <v>500</v>
      </c>
      <c r="J338" s="2">
        <v>500</v>
      </c>
    </row>
    <row r="339" spans="1:10" x14ac:dyDescent="0.35">
      <c r="A339">
        <v>338</v>
      </c>
      <c r="B339" s="1">
        <v>45133</v>
      </c>
      <c r="C339" t="s">
        <v>351</v>
      </c>
      <c r="D339" t="s">
        <v>10</v>
      </c>
      <c r="E339">
        <v>54</v>
      </c>
      <c r="F339" t="str" cm="1">
        <f t="array" ref="F339">_xlfn.IFS(E339&lt;=35, "18-35", E339&lt;=50, "36-50", E339&lt;=65, "51-65", TRUE, "Over 65")</f>
        <v>51-65</v>
      </c>
      <c r="G339" t="s">
        <v>11</v>
      </c>
      <c r="H339">
        <v>2</v>
      </c>
      <c r="I339" s="2">
        <v>50</v>
      </c>
      <c r="J339" s="2">
        <v>100</v>
      </c>
    </row>
    <row r="340" spans="1:10" x14ac:dyDescent="0.35">
      <c r="A340">
        <v>339</v>
      </c>
      <c r="B340" s="1">
        <v>44988</v>
      </c>
      <c r="C340" t="s">
        <v>352</v>
      </c>
      <c r="D340" t="s">
        <v>13</v>
      </c>
      <c r="E340">
        <v>22</v>
      </c>
      <c r="F340" t="str" cm="1">
        <f t="array" ref="F340">_xlfn.IFS(E340&lt;=35, "18-35", E340&lt;=50, "36-50", E340&lt;=65, "51-65", TRUE, "Over 65")</f>
        <v>18-35</v>
      </c>
      <c r="G340" t="s">
        <v>16</v>
      </c>
      <c r="H340">
        <v>2</v>
      </c>
      <c r="I340" s="2">
        <v>25</v>
      </c>
      <c r="J340" s="2">
        <v>50</v>
      </c>
    </row>
    <row r="341" spans="1:10" x14ac:dyDescent="0.35">
      <c r="A341">
        <v>340</v>
      </c>
      <c r="B341" s="1">
        <v>45218</v>
      </c>
      <c r="C341" t="s">
        <v>353</v>
      </c>
      <c r="D341" t="s">
        <v>13</v>
      </c>
      <c r="E341">
        <v>36</v>
      </c>
      <c r="F341" t="str" cm="1">
        <f t="array" ref="F341">_xlfn.IFS(E341&lt;=35, "18-35", E341&lt;=50, "36-50", E341&lt;=65, "51-65", TRUE, "Over 65")</f>
        <v>36-50</v>
      </c>
      <c r="G341" t="s">
        <v>14</v>
      </c>
      <c r="H341">
        <v>4</v>
      </c>
      <c r="I341" s="2">
        <v>300</v>
      </c>
      <c r="J341" s="2">
        <v>1200</v>
      </c>
    </row>
    <row r="342" spans="1:10" x14ac:dyDescent="0.35">
      <c r="A342">
        <v>341</v>
      </c>
      <c r="B342" s="1">
        <v>45053</v>
      </c>
      <c r="C342" t="s">
        <v>354</v>
      </c>
      <c r="D342" t="s">
        <v>10</v>
      </c>
      <c r="E342">
        <v>31</v>
      </c>
      <c r="F342" t="str" cm="1">
        <f t="array" ref="F342">_xlfn.IFS(E342&lt;=35, "18-35", E342&lt;=50, "36-50", E342&lt;=65, "51-65", TRUE, "Over 65")</f>
        <v>18-35</v>
      </c>
      <c r="G342" t="s">
        <v>14</v>
      </c>
      <c r="H342">
        <v>4</v>
      </c>
      <c r="I342" s="2">
        <v>50</v>
      </c>
      <c r="J342" s="2">
        <v>200</v>
      </c>
    </row>
    <row r="343" spans="1:10" x14ac:dyDescent="0.35">
      <c r="A343">
        <v>342</v>
      </c>
      <c r="B343" s="1">
        <v>45223</v>
      </c>
      <c r="C343" t="s">
        <v>355</v>
      </c>
      <c r="D343" t="s">
        <v>13</v>
      </c>
      <c r="E343">
        <v>43</v>
      </c>
      <c r="F343" t="str" cm="1">
        <f t="array" ref="F343">_xlfn.IFS(E343&lt;=35, "18-35", E343&lt;=50, "36-50", E343&lt;=65, "51-65", TRUE, "Over 65")</f>
        <v>36-50</v>
      </c>
      <c r="G343" t="s">
        <v>14</v>
      </c>
      <c r="H343">
        <v>4</v>
      </c>
      <c r="I343" s="2">
        <v>500</v>
      </c>
      <c r="J343" s="2">
        <v>2000</v>
      </c>
    </row>
    <row r="344" spans="1:10" x14ac:dyDescent="0.35">
      <c r="A344">
        <v>343</v>
      </c>
      <c r="B344" s="1">
        <v>45231</v>
      </c>
      <c r="C344" t="s">
        <v>356</v>
      </c>
      <c r="D344" t="s">
        <v>10</v>
      </c>
      <c r="E344">
        <v>21</v>
      </c>
      <c r="F344" t="str" cm="1">
        <f t="array" ref="F344">_xlfn.IFS(E344&lt;=35, "18-35", E344&lt;=50, "36-50", E344&lt;=65, "51-65", TRUE, "Over 65")</f>
        <v>18-35</v>
      </c>
      <c r="G344" t="s">
        <v>16</v>
      </c>
      <c r="H344">
        <v>2</v>
      </c>
      <c r="I344" s="2">
        <v>25</v>
      </c>
      <c r="J344" s="2">
        <v>50</v>
      </c>
    </row>
    <row r="345" spans="1:10" x14ac:dyDescent="0.35">
      <c r="A345">
        <v>344</v>
      </c>
      <c r="B345" s="1">
        <v>44947</v>
      </c>
      <c r="C345" t="s">
        <v>357</v>
      </c>
      <c r="D345" t="s">
        <v>13</v>
      </c>
      <c r="E345">
        <v>42</v>
      </c>
      <c r="F345" t="str" cm="1">
        <f t="array" ref="F345">_xlfn.IFS(E345&lt;=35, "18-35", E345&lt;=50, "36-50", E345&lt;=65, "51-65", TRUE, "Over 65")</f>
        <v>36-50</v>
      </c>
      <c r="G345" t="s">
        <v>11</v>
      </c>
      <c r="H345">
        <v>1</v>
      </c>
      <c r="I345" s="2">
        <v>30</v>
      </c>
      <c r="J345" s="2">
        <v>30</v>
      </c>
    </row>
    <row r="346" spans="1:10" x14ac:dyDescent="0.35">
      <c r="A346">
        <v>345</v>
      </c>
      <c r="B346" s="1">
        <v>45244</v>
      </c>
      <c r="C346" t="s">
        <v>358</v>
      </c>
      <c r="D346" t="s">
        <v>10</v>
      </c>
      <c r="E346">
        <v>62</v>
      </c>
      <c r="F346" t="str" cm="1">
        <f t="array" ref="F346">_xlfn.IFS(E346&lt;=35, "18-35", E346&lt;=50, "36-50", E346&lt;=65, "51-65", TRUE, "Over 65")</f>
        <v>51-65</v>
      </c>
      <c r="G346" t="s">
        <v>16</v>
      </c>
      <c r="H346">
        <v>1</v>
      </c>
      <c r="I346" s="2">
        <v>30</v>
      </c>
      <c r="J346" s="2">
        <v>30</v>
      </c>
    </row>
    <row r="347" spans="1:10" x14ac:dyDescent="0.35">
      <c r="A347">
        <v>346</v>
      </c>
      <c r="B347" s="1">
        <v>44968</v>
      </c>
      <c r="C347" t="s">
        <v>359</v>
      </c>
      <c r="D347" t="s">
        <v>10</v>
      </c>
      <c r="E347">
        <v>59</v>
      </c>
      <c r="F347" t="str" cm="1">
        <f t="array" ref="F347">_xlfn.IFS(E347&lt;=35, "18-35", E347&lt;=50, "36-50", E347&lt;=65, "51-65", TRUE, "Over 65")</f>
        <v>51-65</v>
      </c>
      <c r="G347" t="s">
        <v>14</v>
      </c>
      <c r="H347">
        <v>2</v>
      </c>
      <c r="I347" s="2">
        <v>500</v>
      </c>
      <c r="J347" s="2">
        <v>1000</v>
      </c>
    </row>
    <row r="348" spans="1:10" x14ac:dyDescent="0.35">
      <c r="A348">
        <v>347</v>
      </c>
      <c r="B348" s="1">
        <v>45141</v>
      </c>
      <c r="C348" t="s">
        <v>360</v>
      </c>
      <c r="D348" t="s">
        <v>10</v>
      </c>
      <c r="E348">
        <v>42</v>
      </c>
      <c r="F348" t="str" cm="1">
        <f t="array" ref="F348">_xlfn.IFS(E348&lt;=35, "18-35", E348&lt;=50, "36-50", E348&lt;=65, "51-65", TRUE, "Over 65")</f>
        <v>36-50</v>
      </c>
      <c r="G348" t="s">
        <v>16</v>
      </c>
      <c r="H348">
        <v>1</v>
      </c>
      <c r="I348" s="2">
        <v>25</v>
      </c>
      <c r="J348" s="2">
        <v>25</v>
      </c>
    </row>
    <row r="349" spans="1:10" x14ac:dyDescent="0.35">
      <c r="A349">
        <v>348</v>
      </c>
      <c r="B349" s="1">
        <v>45263</v>
      </c>
      <c r="C349" t="s">
        <v>361</v>
      </c>
      <c r="D349" t="s">
        <v>13</v>
      </c>
      <c r="E349">
        <v>35</v>
      </c>
      <c r="F349" t="str" cm="1">
        <f t="array" ref="F349">_xlfn.IFS(E349&lt;=35, "18-35", E349&lt;=50, "36-50", E349&lt;=65, "51-65", TRUE, "Over 65")</f>
        <v>18-35</v>
      </c>
      <c r="G349" t="s">
        <v>16</v>
      </c>
      <c r="H349">
        <v>2</v>
      </c>
      <c r="I349" s="2">
        <v>300</v>
      </c>
      <c r="J349" s="2">
        <v>600</v>
      </c>
    </row>
    <row r="350" spans="1:10" x14ac:dyDescent="0.35">
      <c r="A350">
        <v>349</v>
      </c>
      <c r="B350" s="1">
        <v>45225</v>
      </c>
      <c r="C350" t="s">
        <v>362</v>
      </c>
      <c r="D350" t="s">
        <v>13</v>
      </c>
      <c r="E350">
        <v>57</v>
      </c>
      <c r="F350" t="str" cm="1">
        <f t="array" ref="F350">_xlfn.IFS(E350&lt;=35, "18-35", E350&lt;=50, "36-50", E350&lt;=65, "51-65", TRUE, "Over 65")</f>
        <v>51-65</v>
      </c>
      <c r="G350" t="s">
        <v>11</v>
      </c>
      <c r="H350">
        <v>1</v>
      </c>
      <c r="I350" s="2">
        <v>50</v>
      </c>
      <c r="J350" s="2">
        <v>50</v>
      </c>
    </row>
    <row r="351" spans="1:10" x14ac:dyDescent="0.35">
      <c r="A351">
        <v>350</v>
      </c>
      <c r="B351" s="1">
        <v>45216</v>
      </c>
      <c r="C351" t="s">
        <v>363</v>
      </c>
      <c r="D351" t="s">
        <v>10</v>
      </c>
      <c r="E351">
        <v>25</v>
      </c>
      <c r="F351" t="str" cm="1">
        <f t="array" ref="F351">_xlfn.IFS(E351&lt;=35, "18-35", E351&lt;=50, "36-50", E351&lt;=65, "51-65", TRUE, "Over 65")</f>
        <v>18-35</v>
      </c>
      <c r="G351" t="s">
        <v>11</v>
      </c>
      <c r="H351">
        <v>3</v>
      </c>
      <c r="I351" s="2">
        <v>25</v>
      </c>
      <c r="J351" s="2">
        <v>75</v>
      </c>
    </row>
    <row r="352" spans="1:10" x14ac:dyDescent="0.35">
      <c r="A352">
        <v>351</v>
      </c>
      <c r="B352" s="1">
        <v>45194</v>
      </c>
      <c r="C352" t="s">
        <v>364</v>
      </c>
      <c r="D352" t="s">
        <v>13</v>
      </c>
      <c r="E352">
        <v>56</v>
      </c>
      <c r="F352" t="str" cm="1">
        <f t="array" ref="F352">_xlfn.IFS(E352&lt;=35, "18-35", E352&lt;=50, "36-50", E352&lt;=65, "51-65", TRUE, "Over 65")</f>
        <v>51-65</v>
      </c>
      <c r="G352" t="s">
        <v>14</v>
      </c>
      <c r="H352">
        <v>3</v>
      </c>
      <c r="I352" s="2">
        <v>30</v>
      </c>
      <c r="J352" s="2">
        <v>90</v>
      </c>
    </row>
    <row r="353" spans="1:10" x14ac:dyDescent="0.35">
      <c r="A353">
        <v>352</v>
      </c>
      <c r="B353" s="1">
        <v>45088</v>
      </c>
      <c r="C353" t="s">
        <v>365</v>
      </c>
      <c r="D353" t="s">
        <v>10</v>
      </c>
      <c r="E353">
        <v>57</v>
      </c>
      <c r="F353" t="str" cm="1">
        <f t="array" ref="F353">_xlfn.IFS(E353&lt;=35, "18-35", E353&lt;=50, "36-50", E353&lt;=65, "51-65", TRUE, "Over 65")</f>
        <v>51-65</v>
      </c>
      <c r="G353" t="s">
        <v>16</v>
      </c>
      <c r="H353">
        <v>2</v>
      </c>
      <c r="I353" s="2">
        <v>500</v>
      </c>
      <c r="J353" s="2">
        <v>1000</v>
      </c>
    </row>
    <row r="354" spans="1:10" x14ac:dyDescent="0.35">
      <c r="A354">
        <v>353</v>
      </c>
      <c r="B354" s="1">
        <v>45060</v>
      </c>
      <c r="C354" t="s">
        <v>366</v>
      </c>
      <c r="D354" t="s">
        <v>10</v>
      </c>
      <c r="E354">
        <v>31</v>
      </c>
      <c r="F354" t="str" cm="1">
        <f t="array" ref="F354">_xlfn.IFS(E354&lt;=35, "18-35", E354&lt;=50, "36-50", E354&lt;=65, "51-65", TRUE, "Over 65")</f>
        <v>18-35</v>
      </c>
      <c r="G354" t="s">
        <v>16</v>
      </c>
      <c r="H354">
        <v>1</v>
      </c>
      <c r="I354" s="2">
        <v>500</v>
      </c>
      <c r="J354" s="2">
        <v>500</v>
      </c>
    </row>
    <row r="355" spans="1:10" x14ac:dyDescent="0.35">
      <c r="A355">
        <v>354</v>
      </c>
      <c r="B355" s="1">
        <v>45031</v>
      </c>
      <c r="C355" t="s">
        <v>367</v>
      </c>
      <c r="D355" t="s">
        <v>13</v>
      </c>
      <c r="E355">
        <v>49</v>
      </c>
      <c r="F355" t="str" cm="1">
        <f t="array" ref="F355">_xlfn.IFS(E355&lt;=35, "18-35", E355&lt;=50, "36-50", E355&lt;=65, "51-65", TRUE, "Over 65")</f>
        <v>36-50</v>
      </c>
      <c r="G355" t="s">
        <v>11</v>
      </c>
      <c r="H355">
        <v>4</v>
      </c>
      <c r="I355" s="2">
        <v>50</v>
      </c>
      <c r="J355" s="2">
        <v>200</v>
      </c>
    </row>
    <row r="356" spans="1:10" x14ac:dyDescent="0.35">
      <c r="A356">
        <v>355</v>
      </c>
      <c r="B356" s="1">
        <v>45269</v>
      </c>
      <c r="C356" t="s">
        <v>368</v>
      </c>
      <c r="D356" t="s">
        <v>13</v>
      </c>
      <c r="E356">
        <v>55</v>
      </c>
      <c r="F356" t="str" cm="1">
        <f t="array" ref="F356">_xlfn.IFS(E356&lt;=35, "18-35", E356&lt;=50, "36-50", E356&lt;=65, "51-65", TRUE, "Over 65")</f>
        <v>51-65</v>
      </c>
      <c r="G356" t="s">
        <v>16</v>
      </c>
      <c r="H356">
        <v>1</v>
      </c>
      <c r="I356" s="2">
        <v>500</v>
      </c>
      <c r="J356" s="2">
        <v>500</v>
      </c>
    </row>
    <row r="357" spans="1:10" x14ac:dyDescent="0.35">
      <c r="A357">
        <v>356</v>
      </c>
      <c r="B357" s="1">
        <v>45087</v>
      </c>
      <c r="C357" t="s">
        <v>369</v>
      </c>
      <c r="D357" t="s">
        <v>10</v>
      </c>
      <c r="E357">
        <v>50</v>
      </c>
      <c r="F357" t="str" cm="1">
        <f t="array" ref="F357">_xlfn.IFS(E357&lt;=35, "18-35", E357&lt;=50, "36-50", E357&lt;=65, "51-65", TRUE, "Over 65")</f>
        <v>36-50</v>
      </c>
      <c r="G357" t="s">
        <v>16</v>
      </c>
      <c r="H357">
        <v>3</v>
      </c>
      <c r="I357" s="2">
        <v>500</v>
      </c>
      <c r="J357" s="2">
        <v>1500</v>
      </c>
    </row>
    <row r="358" spans="1:10" x14ac:dyDescent="0.35">
      <c r="A358">
        <v>357</v>
      </c>
      <c r="B358" s="1">
        <v>45049</v>
      </c>
      <c r="C358" t="s">
        <v>370</v>
      </c>
      <c r="D358" t="s">
        <v>13</v>
      </c>
      <c r="E358">
        <v>40</v>
      </c>
      <c r="F358" t="str" cm="1">
        <f t="array" ref="F358">_xlfn.IFS(E358&lt;=35, "18-35", E358&lt;=50, "36-50", E358&lt;=65, "51-65", TRUE, "Over 65")</f>
        <v>36-50</v>
      </c>
      <c r="G358" t="s">
        <v>16</v>
      </c>
      <c r="H358">
        <v>3</v>
      </c>
      <c r="I358" s="2">
        <v>25</v>
      </c>
      <c r="J358" s="2">
        <v>75</v>
      </c>
    </row>
    <row r="359" spans="1:10" x14ac:dyDescent="0.35">
      <c r="A359">
        <v>358</v>
      </c>
      <c r="B359" s="1">
        <v>45062</v>
      </c>
      <c r="C359" t="s">
        <v>371</v>
      </c>
      <c r="D359" t="s">
        <v>13</v>
      </c>
      <c r="E359">
        <v>32</v>
      </c>
      <c r="F359" t="str" cm="1">
        <f t="array" ref="F359">_xlfn.IFS(E359&lt;=35, "18-35", E359&lt;=50, "36-50", E359&lt;=65, "51-65", TRUE, "Over 65")</f>
        <v>18-35</v>
      </c>
      <c r="G359" t="s">
        <v>11</v>
      </c>
      <c r="H359">
        <v>1</v>
      </c>
      <c r="I359" s="2">
        <v>300</v>
      </c>
      <c r="J359" s="2">
        <v>300</v>
      </c>
    </row>
    <row r="360" spans="1:10" x14ac:dyDescent="0.35">
      <c r="A360">
        <v>359</v>
      </c>
      <c r="B360" s="1">
        <v>45129</v>
      </c>
      <c r="C360" t="s">
        <v>372</v>
      </c>
      <c r="D360" t="s">
        <v>10</v>
      </c>
      <c r="E360">
        <v>50</v>
      </c>
      <c r="F360" t="str" cm="1">
        <f t="array" ref="F360">_xlfn.IFS(E360&lt;=35, "18-35", E360&lt;=50, "36-50", E360&lt;=65, "51-65", TRUE, "Over 65")</f>
        <v>36-50</v>
      </c>
      <c r="G360" t="s">
        <v>14</v>
      </c>
      <c r="H360">
        <v>1</v>
      </c>
      <c r="I360" s="2">
        <v>50</v>
      </c>
      <c r="J360" s="2">
        <v>50</v>
      </c>
    </row>
    <row r="361" spans="1:10" x14ac:dyDescent="0.35">
      <c r="A361">
        <v>360</v>
      </c>
      <c r="B361" s="1">
        <v>44994</v>
      </c>
      <c r="C361" t="s">
        <v>373</v>
      </c>
      <c r="D361" t="s">
        <v>10</v>
      </c>
      <c r="E361">
        <v>42</v>
      </c>
      <c r="F361" t="str" cm="1">
        <f t="array" ref="F361">_xlfn.IFS(E361&lt;=35, "18-35", E361&lt;=50, "36-50", E361&lt;=65, "51-65", TRUE, "Over 65")</f>
        <v>36-50</v>
      </c>
      <c r="G361" t="s">
        <v>14</v>
      </c>
      <c r="H361">
        <v>4</v>
      </c>
      <c r="I361" s="2">
        <v>25</v>
      </c>
      <c r="J361" s="2">
        <v>100</v>
      </c>
    </row>
    <row r="362" spans="1:10" x14ac:dyDescent="0.35">
      <c r="A362">
        <v>361</v>
      </c>
      <c r="B362" s="1">
        <v>45270</v>
      </c>
      <c r="C362" t="s">
        <v>374</v>
      </c>
      <c r="D362" t="s">
        <v>13</v>
      </c>
      <c r="E362">
        <v>34</v>
      </c>
      <c r="F362" t="str" cm="1">
        <f t="array" ref="F362">_xlfn.IFS(E362&lt;=35, "18-35", E362&lt;=50, "36-50", E362&lt;=65, "51-65", TRUE, "Over 65")</f>
        <v>18-35</v>
      </c>
      <c r="G362" t="s">
        <v>16</v>
      </c>
      <c r="H362">
        <v>4</v>
      </c>
      <c r="I362" s="2">
        <v>300</v>
      </c>
      <c r="J362" s="2">
        <v>1200</v>
      </c>
    </row>
    <row r="363" spans="1:10" x14ac:dyDescent="0.35">
      <c r="A363">
        <v>362</v>
      </c>
      <c r="B363" s="1">
        <v>45257</v>
      </c>
      <c r="C363" t="s">
        <v>375</v>
      </c>
      <c r="D363" t="s">
        <v>10</v>
      </c>
      <c r="E363">
        <v>50</v>
      </c>
      <c r="F363" t="str" cm="1">
        <f t="array" ref="F363">_xlfn.IFS(E363&lt;=35, "18-35", E363&lt;=50, "36-50", E363&lt;=65, "51-65", TRUE, "Over 65")</f>
        <v>36-50</v>
      </c>
      <c r="G363" t="s">
        <v>14</v>
      </c>
      <c r="H363">
        <v>1</v>
      </c>
      <c r="I363" s="2">
        <v>25</v>
      </c>
      <c r="J363" s="2">
        <v>25</v>
      </c>
    </row>
    <row r="364" spans="1:10" x14ac:dyDescent="0.35">
      <c r="A364">
        <v>363</v>
      </c>
      <c r="B364" s="1">
        <v>45080</v>
      </c>
      <c r="C364" t="s">
        <v>376</v>
      </c>
      <c r="D364" t="s">
        <v>10</v>
      </c>
      <c r="E364">
        <v>64</v>
      </c>
      <c r="F364" t="str" cm="1">
        <f t="array" ref="F364">_xlfn.IFS(E364&lt;=35, "18-35", E364&lt;=50, "36-50", E364&lt;=65, "51-65", TRUE, "Over 65")</f>
        <v>51-65</v>
      </c>
      <c r="G364" t="s">
        <v>11</v>
      </c>
      <c r="H364">
        <v>1</v>
      </c>
      <c r="I364" s="2">
        <v>25</v>
      </c>
      <c r="J364" s="2">
        <v>25</v>
      </c>
    </row>
    <row r="365" spans="1:10" x14ac:dyDescent="0.35">
      <c r="A365">
        <v>364</v>
      </c>
      <c r="B365" s="1">
        <v>45161</v>
      </c>
      <c r="C365" t="s">
        <v>377</v>
      </c>
      <c r="D365" t="s">
        <v>13</v>
      </c>
      <c r="E365">
        <v>19</v>
      </c>
      <c r="F365" t="str" cm="1">
        <f t="array" ref="F365">_xlfn.IFS(E365&lt;=35, "18-35", E365&lt;=50, "36-50", E365&lt;=65, "51-65", TRUE, "Over 65")</f>
        <v>18-35</v>
      </c>
      <c r="G365" t="s">
        <v>11</v>
      </c>
      <c r="H365">
        <v>1</v>
      </c>
      <c r="I365" s="2">
        <v>500</v>
      </c>
      <c r="J365" s="2">
        <v>500</v>
      </c>
    </row>
    <row r="366" spans="1:10" x14ac:dyDescent="0.35">
      <c r="A366">
        <v>365</v>
      </c>
      <c r="B366" s="1">
        <v>45088</v>
      </c>
      <c r="C366" t="s">
        <v>378</v>
      </c>
      <c r="D366" t="s">
        <v>10</v>
      </c>
      <c r="E366">
        <v>31</v>
      </c>
      <c r="F366" t="str" cm="1">
        <f t="array" ref="F366">_xlfn.IFS(E366&lt;=35, "18-35", E366&lt;=50, "36-50", E366&lt;=65, "51-65", TRUE, "Over 65")</f>
        <v>18-35</v>
      </c>
      <c r="G366" t="s">
        <v>14</v>
      </c>
      <c r="H366">
        <v>1</v>
      </c>
      <c r="I366" s="2">
        <v>300</v>
      </c>
      <c r="J366" s="2">
        <v>300</v>
      </c>
    </row>
    <row r="367" spans="1:10" x14ac:dyDescent="0.35">
      <c r="A367">
        <v>366</v>
      </c>
      <c r="B367" s="1">
        <v>44964</v>
      </c>
      <c r="C367" t="s">
        <v>379</v>
      </c>
      <c r="D367" t="s">
        <v>10</v>
      </c>
      <c r="E367">
        <v>57</v>
      </c>
      <c r="F367" t="str" cm="1">
        <f t="array" ref="F367">_xlfn.IFS(E367&lt;=35, "18-35", E367&lt;=50, "36-50", E367&lt;=65, "51-65", TRUE, "Over 65")</f>
        <v>51-65</v>
      </c>
      <c r="G367" t="s">
        <v>14</v>
      </c>
      <c r="H367">
        <v>2</v>
      </c>
      <c r="I367" s="2">
        <v>50</v>
      </c>
      <c r="J367" s="2">
        <v>100</v>
      </c>
    </row>
    <row r="368" spans="1:10" x14ac:dyDescent="0.35">
      <c r="A368">
        <v>367</v>
      </c>
      <c r="B368" s="1">
        <v>44931</v>
      </c>
      <c r="C368" t="s">
        <v>380</v>
      </c>
      <c r="D368" t="s">
        <v>13</v>
      </c>
      <c r="E368">
        <v>57</v>
      </c>
      <c r="F368" t="str" cm="1">
        <f t="array" ref="F368">_xlfn.IFS(E368&lt;=35, "18-35", E368&lt;=50, "36-50", E368&lt;=65, "51-65", TRUE, "Over 65")</f>
        <v>51-65</v>
      </c>
      <c r="G368" t="s">
        <v>16</v>
      </c>
      <c r="H368">
        <v>1</v>
      </c>
      <c r="I368" s="2">
        <v>50</v>
      </c>
      <c r="J368" s="2">
        <v>50</v>
      </c>
    </row>
    <row r="369" spans="1:10" x14ac:dyDescent="0.35">
      <c r="A369">
        <v>368</v>
      </c>
      <c r="B369" s="1">
        <v>45161</v>
      </c>
      <c r="C369" t="s">
        <v>381</v>
      </c>
      <c r="D369" t="s">
        <v>13</v>
      </c>
      <c r="E369">
        <v>56</v>
      </c>
      <c r="F369" t="str" cm="1">
        <f t="array" ref="F369">_xlfn.IFS(E369&lt;=35, "18-35", E369&lt;=50, "36-50", E369&lt;=65, "51-65", TRUE, "Over 65")</f>
        <v>51-65</v>
      </c>
      <c r="G369" t="s">
        <v>14</v>
      </c>
      <c r="H369">
        <v>4</v>
      </c>
      <c r="I369" s="2">
        <v>300</v>
      </c>
      <c r="J369" s="2">
        <v>1200</v>
      </c>
    </row>
    <row r="370" spans="1:10" x14ac:dyDescent="0.35">
      <c r="A370">
        <v>369</v>
      </c>
      <c r="B370" s="1">
        <v>45245</v>
      </c>
      <c r="C370" t="s">
        <v>382</v>
      </c>
      <c r="D370" t="s">
        <v>10</v>
      </c>
      <c r="E370">
        <v>23</v>
      </c>
      <c r="F370" t="str" cm="1">
        <f t="array" ref="F370">_xlfn.IFS(E370&lt;=35, "18-35", E370&lt;=50, "36-50", E370&lt;=65, "51-65", TRUE, "Over 65")</f>
        <v>18-35</v>
      </c>
      <c r="G370" t="s">
        <v>16</v>
      </c>
      <c r="H370">
        <v>3</v>
      </c>
      <c r="I370" s="2">
        <v>500</v>
      </c>
      <c r="J370" s="2">
        <v>1500</v>
      </c>
    </row>
    <row r="371" spans="1:10" x14ac:dyDescent="0.35">
      <c r="A371">
        <v>370</v>
      </c>
      <c r="B371" s="1">
        <v>45215</v>
      </c>
      <c r="C371" t="s">
        <v>383</v>
      </c>
      <c r="D371" t="s">
        <v>10</v>
      </c>
      <c r="E371">
        <v>23</v>
      </c>
      <c r="F371" t="str" cm="1">
        <f t="array" ref="F371">_xlfn.IFS(E371&lt;=35, "18-35", E371&lt;=50, "36-50", E371&lt;=65, "51-65", TRUE, "Over 65")</f>
        <v>18-35</v>
      </c>
      <c r="G371" t="s">
        <v>16</v>
      </c>
      <c r="H371">
        <v>2</v>
      </c>
      <c r="I371" s="2">
        <v>30</v>
      </c>
      <c r="J371" s="2">
        <v>60</v>
      </c>
    </row>
    <row r="372" spans="1:10" x14ac:dyDescent="0.35">
      <c r="A372">
        <v>371</v>
      </c>
      <c r="B372" s="1">
        <v>44978</v>
      </c>
      <c r="C372" t="s">
        <v>384</v>
      </c>
      <c r="D372" t="s">
        <v>13</v>
      </c>
      <c r="E372">
        <v>20</v>
      </c>
      <c r="F372" t="str" cm="1">
        <f t="array" ref="F372">_xlfn.IFS(E372&lt;=35, "18-35", E372&lt;=50, "36-50", E372&lt;=65, "51-65", TRUE, "Over 65")</f>
        <v>18-35</v>
      </c>
      <c r="G372" t="s">
        <v>11</v>
      </c>
      <c r="H372">
        <v>1</v>
      </c>
      <c r="I372" s="2">
        <v>25</v>
      </c>
      <c r="J372" s="2">
        <v>25</v>
      </c>
    </row>
    <row r="373" spans="1:10" x14ac:dyDescent="0.35">
      <c r="A373">
        <v>372</v>
      </c>
      <c r="B373" s="1">
        <v>44964</v>
      </c>
      <c r="C373" t="s">
        <v>385</v>
      </c>
      <c r="D373" t="s">
        <v>13</v>
      </c>
      <c r="E373">
        <v>24</v>
      </c>
      <c r="F373" t="str" cm="1">
        <f t="array" ref="F373">_xlfn.IFS(E373&lt;=35, "18-35", E373&lt;=50, "36-50", E373&lt;=65, "51-65", TRUE, "Over 65")</f>
        <v>18-35</v>
      </c>
      <c r="G373" t="s">
        <v>11</v>
      </c>
      <c r="H373">
        <v>3</v>
      </c>
      <c r="I373" s="2">
        <v>500</v>
      </c>
      <c r="J373" s="2">
        <v>1500</v>
      </c>
    </row>
    <row r="374" spans="1:10" x14ac:dyDescent="0.35">
      <c r="A374">
        <v>373</v>
      </c>
      <c r="B374" s="1">
        <v>45202</v>
      </c>
      <c r="C374" t="s">
        <v>386</v>
      </c>
      <c r="D374" t="s">
        <v>13</v>
      </c>
      <c r="E374">
        <v>25</v>
      </c>
      <c r="F374" t="str" cm="1">
        <f t="array" ref="F374">_xlfn.IFS(E374&lt;=35, "18-35", E374&lt;=50, "36-50", E374&lt;=65, "51-65", TRUE, "Over 65")</f>
        <v>18-35</v>
      </c>
      <c r="G374" t="s">
        <v>11</v>
      </c>
      <c r="H374">
        <v>2</v>
      </c>
      <c r="I374" s="2">
        <v>300</v>
      </c>
      <c r="J374" s="2">
        <v>600</v>
      </c>
    </row>
    <row r="375" spans="1:10" x14ac:dyDescent="0.35">
      <c r="A375">
        <v>374</v>
      </c>
      <c r="B375" s="1">
        <v>45036</v>
      </c>
      <c r="C375" t="s">
        <v>387</v>
      </c>
      <c r="D375" t="s">
        <v>13</v>
      </c>
      <c r="E375">
        <v>59</v>
      </c>
      <c r="F375" t="str" cm="1">
        <f t="array" ref="F375">_xlfn.IFS(E375&lt;=35, "18-35", E375&lt;=50, "36-50", E375&lt;=65, "51-65", TRUE, "Over 65")</f>
        <v>51-65</v>
      </c>
      <c r="G375" t="s">
        <v>11</v>
      </c>
      <c r="H375">
        <v>3</v>
      </c>
      <c r="I375" s="2">
        <v>25</v>
      </c>
      <c r="J375" s="2">
        <v>75</v>
      </c>
    </row>
    <row r="376" spans="1:10" x14ac:dyDescent="0.35">
      <c r="A376">
        <v>375</v>
      </c>
      <c r="B376" s="1">
        <v>45186</v>
      </c>
      <c r="C376" t="s">
        <v>388</v>
      </c>
      <c r="D376" t="s">
        <v>10</v>
      </c>
      <c r="E376">
        <v>32</v>
      </c>
      <c r="F376" t="str" cm="1">
        <f t="array" ref="F376">_xlfn.IFS(E376&lt;=35, "18-35", E376&lt;=50, "36-50", E376&lt;=65, "51-65", TRUE, "Over 65")</f>
        <v>18-35</v>
      </c>
      <c r="G376" t="s">
        <v>14</v>
      </c>
      <c r="H376">
        <v>1</v>
      </c>
      <c r="I376" s="2">
        <v>50</v>
      </c>
      <c r="J376" s="2">
        <v>50</v>
      </c>
    </row>
    <row r="377" spans="1:10" x14ac:dyDescent="0.35">
      <c r="A377">
        <v>376</v>
      </c>
      <c r="B377" s="1">
        <v>45062</v>
      </c>
      <c r="C377" t="s">
        <v>389</v>
      </c>
      <c r="D377" t="s">
        <v>13</v>
      </c>
      <c r="E377">
        <v>64</v>
      </c>
      <c r="F377" t="str" cm="1">
        <f t="array" ref="F377">_xlfn.IFS(E377&lt;=35, "18-35", E377&lt;=50, "36-50", E377&lt;=65, "51-65", TRUE, "Over 65")</f>
        <v>51-65</v>
      </c>
      <c r="G377" t="s">
        <v>11</v>
      </c>
      <c r="H377">
        <v>1</v>
      </c>
      <c r="I377" s="2">
        <v>30</v>
      </c>
      <c r="J377" s="2">
        <v>30</v>
      </c>
    </row>
    <row r="378" spans="1:10" x14ac:dyDescent="0.35">
      <c r="A378">
        <v>377</v>
      </c>
      <c r="B378" s="1">
        <v>44994</v>
      </c>
      <c r="C378" t="s">
        <v>390</v>
      </c>
      <c r="D378" t="s">
        <v>13</v>
      </c>
      <c r="E378">
        <v>46</v>
      </c>
      <c r="F378" t="str" cm="1">
        <f t="array" ref="F378">_xlfn.IFS(E378&lt;=35, "18-35", E378&lt;=50, "36-50", E378&lt;=65, "51-65", TRUE, "Over 65")</f>
        <v>36-50</v>
      </c>
      <c r="G378" t="s">
        <v>14</v>
      </c>
      <c r="H378">
        <v>4</v>
      </c>
      <c r="I378" s="2">
        <v>50</v>
      </c>
      <c r="J378" s="2">
        <v>200</v>
      </c>
    </row>
    <row r="379" spans="1:10" x14ac:dyDescent="0.35">
      <c r="A379">
        <v>378</v>
      </c>
      <c r="B379" s="1">
        <v>45105</v>
      </c>
      <c r="C379" t="s">
        <v>391</v>
      </c>
      <c r="D379" t="s">
        <v>10</v>
      </c>
      <c r="E379">
        <v>50</v>
      </c>
      <c r="F379" t="str" cm="1">
        <f t="array" ref="F379">_xlfn.IFS(E379&lt;=35, "18-35", E379&lt;=50, "36-50", E379&lt;=65, "51-65", TRUE, "Over 65")</f>
        <v>36-50</v>
      </c>
      <c r="G379" t="s">
        <v>11</v>
      </c>
      <c r="H379">
        <v>1</v>
      </c>
      <c r="I379" s="2">
        <v>300</v>
      </c>
      <c r="J379" s="2">
        <v>300</v>
      </c>
    </row>
    <row r="380" spans="1:10" x14ac:dyDescent="0.35">
      <c r="A380">
        <v>379</v>
      </c>
      <c r="B380" s="1">
        <v>44962</v>
      </c>
      <c r="C380" t="s">
        <v>392</v>
      </c>
      <c r="D380" t="s">
        <v>13</v>
      </c>
      <c r="E380">
        <v>47</v>
      </c>
      <c r="F380" t="str" cm="1">
        <f t="array" ref="F380">_xlfn.IFS(E380&lt;=35, "18-35", E380&lt;=50, "36-50", E380&lt;=65, "51-65", TRUE, "Over 65")</f>
        <v>36-50</v>
      </c>
      <c r="G380" t="s">
        <v>14</v>
      </c>
      <c r="H380">
        <v>1</v>
      </c>
      <c r="I380" s="2">
        <v>25</v>
      </c>
      <c r="J380" s="2">
        <v>25</v>
      </c>
    </row>
    <row r="381" spans="1:10" x14ac:dyDescent="0.35">
      <c r="A381">
        <v>380</v>
      </c>
      <c r="B381" s="1">
        <v>45052</v>
      </c>
      <c r="C381" t="s">
        <v>393</v>
      </c>
      <c r="D381" t="s">
        <v>10</v>
      </c>
      <c r="E381">
        <v>56</v>
      </c>
      <c r="F381" t="str" cm="1">
        <f t="array" ref="F381">_xlfn.IFS(E381&lt;=35, "18-35", E381&lt;=50, "36-50", E381&lt;=65, "51-65", TRUE, "Over 65")</f>
        <v>51-65</v>
      </c>
      <c r="G381" t="s">
        <v>16</v>
      </c>
      <c r="H381">
        <v>2</v>
      </c>
      <c r="I381" s="2">
        <v>300</v>
      </c>
      <c r="J381" s="2">
        <v>600</v>
      </c>
    </row>
    <row r="382" spans="1:10" x14ac:dyDescent="0.35">
      <c r="A382">
        <v>381</v>
      </c>
      <c r="B382" s="1">
        <v>45116</v>
      </c>
      <c r="C382" t="s">
        <v>394</v>
      </c>
      <c r="D382" t="s">
        <v>13</v>
      </c>
      <c r="E382">
        <v>44</v>
      </c>
      <c r="F382" t="str" cm="1">
        <f t="array" ref="F382">_xlfn.IFS(E382&lt;=35, "18-35", E382&lt;=50, "36-50", E382&lt;=65, "51-65", TRUE, "Over 65")</f>
        <v>36-50</v>
      </c>
      <c r="G382" t="s">
        <v>14</v>
      </c>
      <c r="H382">
        <v>4</v>
      </c>
      <c r="I382" s="2">
        <v>25</v>
      </c>
      <c r="J382" s="2">
        <v>100</v>
      </c>
    </row>
    <row r="383" spans="1:10" x14ac:dyDescent="0.35">
      <c r="A383">
        <v>382</v>
      </c>
      <c r="B383" s="1">
        <v>45072</v>
      </c>
      <c r="C383" t="s">
        <v>395</v>
      </c>
      <c r="D383" t="s">
        <v>13</v>
      </c>
      <c r="E383">
        <v>53</v>
      </c>
      <c r="F383" t="str" cm="1">
        <f t="array" ref="F383">_xlfn.IFS(E383&lt;=35, "18-35", E383&lt;=50, "36-50", E383&lt;=65, "51-65", TRUE, "Over 65")</f>
        <v>51-65</v>
      </c>
      <c r="G383" t="s">
        <v>14</v>
      </c>
      <c r="H383">
        <v>2</v>
      </c>
      <c r="I383" s="2">
        <v>500</v>
      </c>
      <c r="J383" s="2">
        <v>1000</v>
      </c>
    </row>
    <row r="384" spans="1:10" x14ac:dyDescent="0.35">
      <c r="A384">
        <v>383</v>
      </c>
      <c r="B384" s="1">
        <v>45007</v>
      </c>
      <c r="C384" t="s">
        <v>396</v>
      </c>
      <c r="D384" t="s">
        <v>13</v>
      </c>
      <c r="E384">
        <v>46</v>
      </c>
      <c r="F384" t="str" cm="1">
        <f t="array" ref="F384">_xlfn.IFS(E384&lt;=35, "18-35", E384&lt;=50, "36-50", E384&lt;=65, "51-65", TRUE, "Over 65")</f>
        <v>36-50</v>
      </c>
      <c r="G384" t="s">
        <v>11</v>
      </c>
      <c r="H384">
        <v>3</v>
      </c>
      <c r="I384" s="2">
        <v>30</v>
      </c>
      <c r="J384" s="2">
        <v>90</v>
      </c>
    </row>
    <row r="385" spans="1:10" x14ac:dyDescent="0.35">
      <c r="A385">
        <v>384</v>
      </c>
      <c r="B385" s="1">
        <v>45151</v>
      </c>
      <c r="C385" t="s">
        <v>397</v>
      </c>
      <c r="D385" t="s">
        <v>10</v>
      </c>
      <c r="E385">
        <v>55</v>
      </c>
      <c r="F385" t="str" cm="1">
        <f t="array" ref="F385">_xlfn.IFS(E385&lt;=35, "18-35", E385&lt;=50, "36-50", E385&lt;=65, "51-65", TRUE, "Over 65")</f>
        <v>51-65</v>
      </c>
      <c r="G385" t="s">
        <v>14</v>
      </c>
      <c r="H385">
        <v>1</v>
      </c>
      <c r="I385" s="2">
        <v>500</v>
      </c>
      <c r="J385" s="2">
        <v>500</v>
      </c>
    </row>
    <row r="386" spans="1:10" x14ac:dyDescent="0.35">
      <c r="A386">
        <v>385</v>
      </c>
      <c r="B386" s="1">
        <v>45205</v>
      </c>
      <c r="C386" t="s">
        <v>398</v>
      </c>
      <c r="D386" t="s">
        <v>10</v>
      </c>
      <c r="E386">
        <v>50</v>
      </c>
      <c r="F386" t="str" cm="1">
        <f t="array" ref="F386">_xlfn.IFS(E386&lt;=35, "18-35", E386&lt;=50, "36-50", E386&lt;=65, "51-65", TRUE, "Over 65")</f>
        <v>36-50</v>
      </c>
      <c r="G386" t="s">
        <v>16</v>
      </c>
      <c r="H386">
        <v>3</v>
      </c>
      <c r="I386" s="2">
        <v>500</v>
      </c>
      <c r="J386" s="2">
        <v>1500</v>
      </c>
    </row>
    <row r="387" spans="1:10" x14ac:dyDescent="0.35">
      <c r="A387">
        <v>386</v>
      </c>
      <c r="B387" s="1">
        <v>45287</v>
      </c>
      <c r="C387" t="s">
        <v>399</v>
      </c>
      <c r="D387" t="s">
        <v>13</v>
      </c>
      <c r="E387">
        <v>54</v>
      </c>
      <c r="F387" t="str" cm="1">
        <f t="array" ref="F387">_xlfn.IFS(E387&lt;=35, "18-35", E387&lt;=50, "36-50", E387&lt;=65, "51-65", TRUE, "Over 65")</f>
        <v>51-65</v>
      </c>
      <c r="G387" t="s">
        <v>16</v>
      </c>
      <c r="H387">
        <v>2</v>
      </c>
      <c r="I387" s="2">
        <v>300</v>
      </c>
      <c r="J387" s="2">
        <v>600</v>
      </c>
    </row>
    <row r="388" spans="1:10" x14ac:dyDescent="0.35">
      <c r="A388">
        <v>387</v>
      </c>
      <c r="B388" s="1">
        <v>45081</v>
      </c>
      <c r="C388" t="s">
        <v>400</v>
      </c>
      <c r="D388" t="s">
        <v>10</v>
      </c>
      <c r="E388">
        <v>44</v>
      </c>
      <c r="F388" t="str" cm="1">
        <f t="array" ref="F388">_xlfn.IFS(E388&lt;=35, "18-35", E388&lt;=50, "36-50", E388&lt;=65, "51-65", TRUE, "Over 65")</f>
        <v>36-50</v>
      </c>
      <c r="G388" t="s">
        <v>11</v>
      </c>
      <c r="H388">
        <v>1</v>
      </c>
      <c r="I388" s="2">
        <v>30</v>
      </c>
      <c r="J388" s="2">
        <v>30</v>
      </c>
    </row>
    <row r="389" spans="1:10" x14ac:dyDescent="0.35">
      <c r="A389">
        <v>388</v>
      </c>
      <c r="B389" s="1">
        <v>45240</v>
      </c>
      <c r="C389" t="s">
        <v>401</v>
      </c>
      <c r="D389" t="s">
        <v>10</v>
      </c>
      <c r="E389">
        <v>50</v>
      </c>
      <c r="F389" t="str" cm="1">
        <f t="array" ref="F389">_xlfn.IFS(E389&lt;=35, "18-35", E389&lt;=50, "36-50", E389&lt;=65, "51-65", TRUE, "Over 65")</f>
        <v>36-50</v>
      </c>
      <c r="G389" t="s">
        <v>16</v>
      </c>
      <c r="H389">
        <v>1</v>
      </c>
      <c r="I389" s="2">
        <v>25</v>
      </c>
      <c r="J389" s="2">
        <v>25</v>
      </c>
    </row>
    <row r="390" spans="1:10" x14ac:dyDescent="0.35">
      <c r="A390">
        <v>389</v>
      </c>
      <c r="B390" s="1">
        <v>45261</v>
      </c>
      <c r="C390" t="s">
        <v>402</v>
      </c>
      <c r="D390" t="s">
        <v>10</v>
      </c>
      <c r="E390">
        <v>21</v>
      </c>
      <c r="F390" t="str" cm="1">
        <f t="array" ref="F390">_xlfn.IFS(E390&lt;=35, "18-35", E390&lt;=50, "36-50", E390&lt;=65, "51-65", TRUE, "Over 65")</f>
        <v>18-35</v>
      </c>
      <c r="G390" t="s">
        <v>14</v>
      </c>
      <c r="H390">
        <v>2</v>
      </c>
      <c r="I390" s="2">
        <v>25</v>
      </c>
      <c r="J390" s="2">
        <v>50</v>
      </c>
    </row>
    <row r="391" spans="1:10" x14ac:dyDescent="0.35">
      <c r="A391">
        <v>390</v>
      </c>
      <c r="B391" s="1">
        <v>45197</v>
      </c>
      <c r="C391" t="s">
        <v>403</v>
      </c>
      <c r="D391" t="s">
        <v>10</v>
      </c>
      <c r="E391">
        <v>39</v>
      </c>
      <c r="F391" t="str" cm="1">
        <f t="array" ref="F391">_xlfn.IFS(E391&lt;=35, "18-35", E391&lt;=50, "36-50", E391&lt;=65, "51-65", TRUE, "Over 65")</f>
        <v>36-50</v>
      </c>
      <c r="G391" t="s">
        <v>16</v>
      </c>
      <c r="H391">
        <v>2</v>
      </c>
      <c r="I391" s="2">
        <v>50</v>
      </c>
      <c r="J391" s="2">
        <v>100</v>
      </c>
    </row>
    <row r="392" spans="1:10" x14ac:dyDescent="0.35">
      <c r="A392">
        <v>391</v>
      </c>
      <c r="B392" s="1">
        <v>44931</v>
      </c>
      <c r="C392" t="s">
        <v>404</v>
      </c>
      <c r="D392" t="s">
        <v>10</v>
      </c>
      <c r="E392">
        <v>19</v>
      </c>
      <c r="F392" t="str" cm="1">
        <f t="array" ref="F392">_xlfn.IFS(E392&lt;=35, "18-35", E392&lt;=50, "36-50", E392&lt;=65, "51-65", TRUE, "Over 65")</f>
        <v>18-35</v>
      </c>
      <c r="G392" t="s">
        <v>11</v>
      </c>
      <c r="H392">
        <v>2</v>
      </c>
      <c r="I392" s="2">
        <v>25</v>
      </c>
      <c r="J392" s="2">
        <v>50</v>
      </c>
    </row>
    <row r="393" spans="1:10" x14ac:dyDescent="0.35">
      <c r="A393">
        <v>392</v>
      </c>
      <c r="B393" s="1">
        <v>45268</v>
      </c>
      <c r="C393" t="s">
        <v>405</v>
      </c>
      <c r="D393" t="s">
        <v>10</v>
      </c>
      <c r="E393">
        <v>27</v>
      </c>
      <c r="F393" t="str" cm="1">
        <f t="array" ref="F393">_xlfn.IFS(E393&lt;=35, "18-35", E393&lt;=50, "36-50", E393&lt;=65, "51-65", TRUE, "Over 65")</f>
        <v>18-35</v>
      </c>
      <c r="G393" t="s">
        <v>14</v>
      </c>
      <c r="H393">
        <v>2</v>
      </c>
      <c r="I393" s="2">
        <v>300</v>
      </c>
      <c r="J393" s="2">
        <v>600</v>
      </c>
    </row>
    <row r="394" spans="1:10" x14ac:dyDescent="0.35">
      <c r="A394">
        <v>393</v>
      </c>
      <c r="B394" s="1">
        <v>45210</v>
      </c>
      <c r="C394" t="s">
        <v>406</v>
      </c>
      <c r="D394" t="s">
        <v>13</v>
      </c>
      <c r="E394">
        <v>22</v>
      </c>
      <c r="F394" t="str" cm="1">
        <f t="array" ref="F394">_xlfn.IFS(E394&lt;=35, "18-35", E394&lt;=50, "36-50", E394&lt;=65, "51-65", TRUE, "Over 65")</f>
        <v>18-35</v>
      </c>
      <c r="G394" t="s">
        <v>11</v>
      </c>
      <c r="H394">
        <v>2</v>
      </c>
      <c r="I394" s="2">
        <v>500</v>
      </c>
      <c r="J394" s="2">
        <v>1000</v>
      </c>
    </row>
    <row r="395" spans="1:10" x14ac:dyDescent="0.35">
      <c r="A395">
        <v>394</v>
      </c>
      <c r="B395" s="1">
        <v>45080</v>
      </c>
      <c r="C395" t="s">
        <v>407</v>
      </c>
      <c r="D395" t="s">
        <v>13</v>
      </c>
      <c r="E395">
        <v>27</v>
      </c>
      <c r="F395" t="str" cm="1">
        <f t="array" ref="F395">_xlfn.IFS(E395&lt;=35, "18-35", E395&lt;=50, "36-50", E395&lt;=65, "51-65", TRUE, "Over 65")</f>
        <v>18-35</v>
      </c>
      <c r="G395" t="s">
        <v>14</v>
      </c>
      <c r="H395">
        <v>1</v>
      </c>
      <c r="I395" s="2">
        <v>500</v>
      </c>
      <c r="J395" s="2">
        <v>500</v>
      </c>
    </row>
    <row r="396" spans="1:10" x14ac:dyDescent="0.35">
      <c r="A396">
        <v>395</v>
      </c>
      <c r="B396" s="1">
        <v>45266</v>
      </c>
      <c r="C396" t="s">
        <v>408</v>
      </c>
      <c r="D396" t="s">
        <v>10</v>
      </c>
      <c r="E396">
        <v>50</v>
      </c>
      <c r="F396" t="str" cm="1">
        <f t="array" ref="F396">_xlfn.IFS(E396&lt;=35, "18-35", E396&lt;=50, "36-50", E396&lt;=65, "51-65", TRUE, "Over 65")</f>
        <v>36-50</v>
      </c>
      <c r="G396" t="s">
        <v>16</v>
      </c>
      <c r="H396">
        <v>2</v>
      </c>
      <c r="I396" s="2">
        <v>500</v>
      </c>
      <c r="J396" s="2">
        <v>1000</v>
      </c>
    </row>
    <row r="397" spans="1:10" x14ac:dyDescent="0.35">
      <c r="A397">
        <v>396</v>
      </c>
      <c r="B397" s="1">
        <v>44980</v>
      </c>
      <c r="C397" t="s">
        <v>409</v>
      </c>
      <c r="D397" t="s">
        <v>13</v>
      </c>
      <c r="E397">
        <v>55</v>
      </c>
      <c r="F397" t="str" cm="1">
        <f t="array" ref="F397">_xlfn.IFS(E397&lt;=35, "18-35", E397&lt;=50, "36-50", E397&lt;=65, "51-65", TRUE, "Over 65")</f>
        <v>51-65</v>
      </c>
      <c r="G397" t="s">
        <v>11</v>
      </c>
      <c r="H397">
        <v>1</v>
      </c>
      <c r="I397" s="2">
        <v>30</v>
      </c>
      <c r="J397" s="2">
        <v>30</v>
      </c>
    </row>
    <row r="398" spans="1:10" x14ac:dyDescent="0.35">
      <c r="A398">
        <v>397</v>
      </c>
      <c r="B398" s="1">
        <v>44995</v>
      </c>
      <c r="C398" t="s">
        <v>410</v>
      </c>
      <c r="D398" t="s">
        <v>13</v>
      </c>
      <c r="E398">
        <v>30</v>
      </c>
      <c r="F398" t="str" cm="1">
        <f t="array" ref="F398">_xlfn.IFS(E398&lt;=35, "18-35", E398&lt;=50, "36-50", E398&lt;=65, "51-65", TRUE, "Over 65")</f>
        <v>18-35</v>
      </c>
      <c r="G398" t="s">
        <v>11</v>
      </c>
      <c r="H398">
        <v>1</v>
      </c>
      <c r="I398" s="2">
        <v>25</v>
      </c>
      <c r="J398" s="2">
        <v>25</v>
      </c>
    </row>
    <row r="399" spans="1:10" x14ac:dyDescent="0.35">
      <c r="A399">
        <v>398</v>
      </c>
      <c r="B399" s="1">
        <v>45062</v>
      </c>
      <c r="C399" t="s">
        <v>411</v>
      </c>
      <c r="D399" t="s">
        <v>13</v>
      </c>
      <c r="E399">
        <v>48</v>
      </c>
      <c r="F399" t="str" cm="1">
        <f t="array" ref="F399">_xlfn.IFS(E399&lt;=35, "18-35", E399&lt;=50, "36-50", E399&lt;=65, "51-65", TRUE, "Over 65")</f>
        <v>36-50</v>
      </c>
      <c r="G399" t="s">
        <v>14</v>
      </c>
      <c r="H399">
        <v>2</v>
      </c>
      <c r="I399" s="2">
        <v>300</v>
      </c>
      <c r="J399" s="2">
        <v>600</v>
      </c>
    </row>
    <row r="400" spans="1:10" x14ac:dyDescent="0.35">
      <c r="A400">
        <v>399</v>
      </c>
      <c r="B400" s="1">
        <v>44986</v>
      </c>
      <c r="C400" t="s">
        <v>412</v>
      </c>
      <c r="D400" t="s">
        <v>13</v>
      </c>
      <c r="E400">
        <v>64</v>
      </c>
      <c r="F400" t="str" cm="1">
        <f t="array" ref="F400">_xlfn.IFS(E400&lt;=35, "18-35", E400&lt;=50, "36-50", E400&lt;=65, "51-65", TRUE, "Over 65")</f>
        <v>51-65</v>
      </c>
      <c r="G400" t="s">
        <v>11</v>
      </c>
      <c r="H400">
        <v>2</v>
      </c>
      <c r="I400" s="2">
        <v>30</v>
      </c>
      <c r="J400" s="2">
        <v>60</v>
      </c>
    </row>
    <row r="401" spans="1:10" x14ac:dyDescent="0.35">
      <c r="A401">
        <v>400</v>
      </c>
      <c r="B401" s="1">
        <v>44981</v>
      </c>
      <c r="C401" t="s">
        <v>413</v>
      </c>
      <c r="D401" t="s">
        <v>10</v>
      </c>
      <c r="E401">
        <v>53</v>
      </c>
      <c r="F401" t="str" cm="1">
        <f t="array" ref="F401">_xlfn.IFS(E401&lt;=35, "18-35", E401&lt;=50, "36-50", E401&lt;=65, "51-65", TRUE, "Over 65")</f>
        <v>51-65</v>
      </c>
      <c r="G401" t="s">
        <v>14</v>
      </c>
      <c r="H401">
        <v>4</v>
      </c>
      <c r="I401" s="2">
        <v>50</v>
      </c>
      <c r="J401" s="2">
        <v>200</v>
      </c>
    </row>
    <row r="402" spans="1:10" x14ac:dyDescent="0.35">
      <c r="A402">
        <v>401</v>
      </c>
      <c r="B402" s="1">
        <v>45210</v>
      </c>
      <c r="C402" t="s">
        <v>414</v>
      </c>
      <c r="D402" t="s">
        <v>13</v>
      </c>
      <c r="E402">
        <v>62</v>
      </c>
      <c r="F402" t="str" cm="1">
        <f t="array" ref="F402">_xlfn.IFS(E402&lt;=35, "18-35", E402&lt;=50, "36-50", E402&lt;=65, "51-65", TRUE, "Over 65")</f>
        <v>51-65</v>
      </c>
      <c r="G402" t="s">
        <v>14</v>
      </c>
      <c r="H402">
        <v>1</v>
      </c>
      <c r="I402" s="2">
        <v>300</v>
      </c>
      <c r="J402" s="2">
        <v>300</v>
      </c>
    </row>
    <row r="403" spans="1:10" x14ac:dyDescent="0.35">
      <c r="A403">
        <v>402</v>
      </c>
      <c r="B403" s="1">
        <v>45006</v>
      </c>
      <c r="C403" t="s">
        <v>415</v>
      </c>
      <c r="D403" t="s">
        <v>13</v>
      </c>
      <c r="E403">
        <v>41</v>
      </c>
      <c r="F403" t="str" cm="1">
        <f t="array" ref="F403">_xlfn.IFS(E403&lt;=35, "18-35", E403&lt;=50, "36-50", E403&lt;=65, "51-65", TRUE, "Over 65")</f>
        <v>36-50</v>
      </c>
      <c r="G403" t="s">
        <v>14</v>
      </c>
      <c r="H403">
        <v>2</v>
      </c>
      <c r="I403" s="2">
        <v>300</v>
      </c>
      <c r="J403" s="2">
        <v>600</v>
      </c>
    </row>
    <row r="404" spans="1:10" x14ac:dyDescent="0.35">
      <c r="A404">
        <v>403</v>
      </c>
      <c r="B404" s="1">
        <v>45066</v>
      </c>
      <c r="C404" t="s">
        <v>416</v>
      </c>
      <c r="D404" t="s">
        <v>10</v>
      </c>
      <c r="E404">
        <v>32</v>
      </c>
      <c r="F404" t="str" cm="1">
        <f t="array" ref="F404">_xlfn.IFS(E404&lt;=35, "18-35", E404&lt;=50, "36-50", E404&lt;=65, "51-65", TRUE, "Over 65")</f>
        <v>18-35</v>
      </c>
      <c r="G404" t="s">
        <v>14</v>
      </c>
      <c r="H404">
        <v>2</v>
      </c>
      <c r="I404" s="2">
        <v>300</v>
      </c>
      <c r="J404" s="2">
        <v>600</v>
      </c>
    </row>
    <row r="405" spans="1:10" x14ac:dyDescent="0.35">
      <c r="A405">
        <v>404</v>
      </c>
      <c r="B405" s="1">
        <v>45071</v>
      </c>
      <c r="C405" t="s">
        <v>417</v>
      </c>
      <c r="D405" t="s">
        <v>10</v>
      </c>
      <c r="E405">
        <v>46</v>
      </c>
      <c r="F405" t="str" cm="1">
        <f t="array" ref="F405">_xlfn.IFS(E405&lt;=35, "18-35", E405&lt;=50, "36-50", E405&lt;=65, "51-65", TRUE, "Over 65")</f>
        <v>36-50</v>
      </c>
      <c r="G405" t="s">
        <v>16</v>
      </c>
      <c r="H405">
        <v>2</v>
      </c>
      <c r="I405" s="2">
        <v>500</v>
      </c>
      <c r="J405" s="2">
        <v>1000</v>
      </c>
    </row>
    <row r="406" spans="1:10" x14ac:dyDescent="0.35">
      <c r="A406">
        <v>405</v>
      </c>
      <c r="B406" s="1">
        <v>45236</v>
      </c>
      <c r="C406" t="s">
        <v>418</v>
      </c>
      <c r="D406" t="s">
        <v>13</v>
      </c>
      <c r="E406">
        <v>25</v>
      </c>
      <c r="F406" t="str" cm="1">
        <f t="array" ref="F406">_xlfn.IFS(E406&lt;=35, "18-35", E406&lt;=50, "36-50", E406&lt;=65, "51-65", TRUE, "Over 65")</f>
        <v>18-35</v>
      </c>
      <c r="G406" t="s">
        <v>14</v>
      </c>
      <c r="H406">
        <v>4</v>
      </c>
      <c r="I406" s="2">
        <v>300</v>
      </c>
      <c r="J406" s="2">
        <v>1200</v>
      </c>
    </row>
    <row r="407" spans="1:10" x14ac:dyDescent="0.35">
      <c r="A407">
        <v>406</v>
      </c>
      <c r="B407" s="1">
        <v>45034</v>
      </c>
      <c r="C407" t="s">
        <v>419</v>
      </c>
      <c r="D407" t="s">
        <v>13</v>
      </c>
      <c r="E407">
        <v>22</v>
      </c>
      <c r="F407" t="str" cm="1">
        <f t="array" ref="F407">_xlfn.IFS(E407&lt;=35, "18-35", E407&lt;=50, "36-50", E407&lt;=65, "51-65", TRUE, "Over 65")</f>
        <v>18-35</v>
      </c>
      <c r="G407" t="s">
        <v>11</v>
      </c>
      <c r="H407">
        <v>4</v>
      </c>
      <c r="I407" s="2">
        <v>25</v>
      </c>
      <c r="J407" s="2">
        <v>100</v>
      </c>
    </row>
    <row r="408" spans="1:10" x14ac:dyDescent="0.35">
      <c r="A408">
        <v>407</v>
      </c>
      <c r="B408" s="1">
        <v>45102</v>
      </c>
      <c r="C408" t="s">
        <v>420</v>
      </c>
      <c r="D408" t="s">
        <v>13</v>
      </c>
      <c r="E408">
        <v>46</v>
      </c>
      <c r="F408" t="str" cm="1">
        <f t="array" ref="F408">_xlfn.IFS(E408&lt;=35, "18-35", E408&lt;=50, "36-50", E408&lt;=65, "51-65", TRUE, "Over 65")</f>
        <v>36-50</v>
      </c>
      <c r="G408" t="s">
        <v>16</v>
      </c>
      <c r="H408">
        <v>3</v>
      </c>
      <c r="I408" s="2">
        <v>300</v>
      </c>
      <c r="J408" s="2">
        <v>900</v>
      </c>
    </row>
    <row r="409" spans="1:10" x14ac:dyDescent="0.35">
      <c r="A409">
        <v>408</v>
      </c>
      <c r="B409" s="1">
        <v>45031</v>
      </c>
      <c r="C409" t="s">
        <v>421</v>
      </c>
      <c r="D409" t="s">
        <v>13</v>
      </c>
      <c r="E409">
        <v>64</v>
      </c>
      <c r="F409" t="str" cm="1">
        <f t="array" ref="F409">_xlfn.IFS(E409&lt;=35, "18-35", E409&lt;=50, "36-50", E409&lt;=65, "51-65", TRUE, "Over 65")</f>
        <v>51-65</v>
      </c>
      <c r="G409" t="s">
        <v>11</v>
      </c>
      <c r="H409">
        <v>1</v>
      </c>
      <c r="I409" s="2">
        <v>500</v>
      </c>
      <c r="J409" s="2">
        <v>500</v>
      </c>
    </row>
    <row r="410" spans="1:10" x14ac:dyDescent="0.35">
      <c r="A410">
        <v>409</v>
      </c>
      <c r="B410" s="1">
        <v>45278</v>
      </c>
      <c r="C410" t="s">
        <v>422</v>
      </c>
      <c r="D410" t="s">
        <v>13</v>
      </c>
      <c r="E410">
        <v>21</v>
      </c>
      <c r="F410" t="str" cm="1">
        <f t="array" ref="F410">_xlfn.IFS(E410&lt;=35, "18-35", E410&lt;=50, "36-50", E410&lt;=65, "51-65", TRUE, "Over 65")</f>
        <v>18-35</v>
      </c>
      <c r="G410" t="s">
        <v>16</v>
      </c>
      <c r="H410">
        <v>3</v>
      </c>
      <c r="I410" s="2">
        <v>300</v>
      </c>
      <c r="J410" s="2">
        <v>900</v>
      </c>
    </row>
    <row r="411" spans="1:10" x14ac:dyDescent="0.35">
      <c r="A411">
        <v>410</v>
      </c>
      <c r="B411" s="1">
        <v>45251</v>
      </c>
      <c r="C411" t="s">
        <v>423</v>
      </c>
      <c r="D411" t="s">
        <v>13</v>
      </c>
      <c r="E411">
        <v>29</v>
      </c>
      <c r="F411" t="str" cm="1">
        <f t="array" ref="F411">_xlfn.IFS(E411&lt;=35, "18-35", E411&lt;=50, "36-50", E411&lt;=65, "51-65", TRUE, "Over 65")</f>
        <v>18-35</v>
      </c>
      <c r="G411" t="s">
        <v>14</v>
      </c>
      <c r="H411">
        <v>2</v>
      </c>
      <c r="I411" s="2">
        <v>50</v>
      </c>
      <c r="J411" s="2">
        <v>100</v>
      </c>
    </row>
    <row r="412" spans="1:10" x14ac:dyDescent="0.35">
      <c r="A412">
        <v>411</v>
      </c>
      <c r="B412" s="1">
        <v>45062</v>
      </c>
      <c r="C412" t="s">
        <v>424</v>
      </c>
      <c r="D412" t="s">
        <v>10</v>
      </c>
      <c r="E412">
        <v>62</v>
      </c>
      <c r="F412" t="str" cm="1">
        <f t="array" ref="F412">_xlfn.IFS(E412&lt;=35, "18-35", E412&lt;=50, "36-50", E412&lt;=65, "51-65", TRUE, "Over 65")</f>
        <v>51-65</v>
      </c>
      <c r="G412" t="s">
        <v>16</v>
      </c>
      <c r="H412">
        <v>4</v>
      </c>
      <c r="I412" s="2">
        <v>50</v>
      </c>
      <c r="J412" s="2">
        <v>200</v>
      </c>
    </row>
    <row r="413" spans="1:10" x14ac:dyDescent="0.35">
      <c r="A413">
        <v>412</v>
      </c>
      <c r="B413" s="1">
        <v>45185</v>
      </c>
      <c r="C413" t="s">
        <v>425</v>
      </c>
      <c r="D413" t="s">
        <v>13</v>
      </c>
      <c r="E413">
        <v>19</v>
      </c>
      <c r="F413" t="str" cm="1">
        <f t="array" ref="F413">_xlfn.IFS(E413&lt;=35, "18-35", E413&lt;=50, "36-50", E413&lt;=65, "51-65", TRUE, "Over 65")</f>
        <v>18-35</v>
      </c>
      <c r="G413" t="s">
        <v>16</v>
      </c>
      <c r="H413">
        <v>4</v>
      </c>
      <c r="I413" s="2">
        <v>500</v>
      </c>
      <c r="J413" s="2">
        <v>2000</v>
      </c>
    </row>
    <row r="414" spans="1:10" x14ac:dyDescent="0.35">
      <c r="A414">
        <v>413</v>
      </c>
      <c r="B414" s="1">
        <v>45177</v>
      </c>
      <c r="C414" t="s">
        <v>426</v>
      </c>
      <c r="D414" t="s">
        <v>13</v>
      </c>
      <c r="E414">
        <v>44</v>
      </c>
      <c r="F414" t="str" cm="1">
        <f t="array" ref="F414">_xlfn.IFS(E414&lt;=35, "18-35", E414&lt;=50, "36-50", E414&lt;=65, "51-65", TRUE, "Over 65")</f>
        <v>36-50</v>
      </c>
      <c r="G414" t="s">
        <v>11</v>
      </c>
      <c r="H414">
        <v>3</v>
      </c>
      <c r="I414" s="2">
        <v>25</v>
      </c>
      <c r="J414" s="2">
        <v>75</v>
      </c>
    </row>
    <row r="415" spans="1:10" x14ac:dyDescent="0.35">
      <c r="A415">
        <v>414</v>
      </c>
      <c r="B415" s="1">
        <v>45055</v>
      </c>
      <c r="C415" t="s">
        <v>427</v>
      </c>
      <c r="D415" t="s">
        <v>10</v>
      </c>
      <c r="E415">
        <v>48</v>
      </c>
      <c r="F415" t="str" cm="1">
        <f t="array" ref="F415">_xlfn.IFS(E415&lt;=35, "18-35", E415&lt;=50, "36-50", E415&lt;=65, "51-65", TRUE, "Over 65")</f>
        <v>36-50</v>
      </c>
      <c r="G415" t="s">
        <v>11</v>
      </c>
      <c r="H415">
        <v>4</v>
      </c>
      <c r="I415" s="2">
        <v>25</v>
      </c>
      <c r="J415" s="2">
        <v>100</v>
      </c>
    </row>
    <row r="416" spans="1:10" x14ac:dyDescent="0.35">
      <c r="A416">
        <v>415</v>
      </c>
      <c r="B416" s="1">
        <v>44953</v>
      </c>
      <c r="C416" t="s">
        <v>428</v>
      </c>
      <c r="D416" t="s">
        <v>10</v>
      </c>
      <c r="E416">
        <v>53</v>
      </c>
      <c r="F416" t="str" cm="1">
        <f t="array" ref="F416">_xlfn.IFS(E416&lt;=35, "18-35", E416&lt;=50, "36-50", E416&lt;=65, "51-65", TRUE, "Over 65")</f>
        <v>51-65</v>
      </c>
      <c r="G416" t="s">
        <v>14</v>
      </c>
      <c r="H416">
        <v>2</v>
      </c>
      <c r="I416" s="2">
        <v>30</v>
      </c>
      <c r="J416" s="2">
        <v>60</v>
      </c>
    </row>
    <row r="417" spans="1:10" x14ac:dyDescent="0.35">
      <c r="A417">
        <v>416</v>
      </c>
      <c r="B417" s="1">
        <v>44974</v>
      </c>
      <c r="C417" t="s">
        <v>429</v>
      </c>
      <c r="D417" t="s">
        <v>10</v>
      </c>
      <c r="E417">
        <v>53</v>
      </c>
      <c r="F417" t="str" cm="1">
        <f t="array" ref="F417">_xlfn.IFS(E417&lt;=35, "18-35", E417&lt;=50, "36-50", E417&lt;=65, "51-65", TRUE, "Over 65")</f>
        <v>51-65</v>
      </c>
      <c r="G417" t="s">
        <v>16</v>
      </c>
      <c r="H417">
        <v>4</v>
      </c>
      <c r="I417" s="2">
        <v>500</v>
      </c>
      <c r="J417" s="2">
        <v>2000</v>
      </c>
    </row>
    <row r="418" spans="1:10" x14ac:dyDescent="0.35">
      <c r="A418">
        <v>417</v>
      </c>
      <c r="B418" s="1">
        <v>45251</v>
      </c>
      <c r="C418" t="s">
        <v>430</v>
      </c>
      <c r="D418" t="s">
        <v>10</v>
      </c>
      <c r="E418">
        <v>43</v>
      </c>
      <c r="F418" t="str" cm="1">
        <f t="array" ref="F418">_xlfn.IFS(E418&lt;=35, "18-35", E418&lt;=50, "36-50", E418&lt;=65, "51-65", TRUE, "Over 65")</f>
        <v>36-50</v>
      </c>
      <c r="G418" t="s">
        <v>16</v>
      </c>
      <c r="H418">
        <v>3</v>
      </c>
      <c r="I418" s="2">
        <v>300</v>
      </c>
      <c r="J418" s="2">
        <v>900</v>
      </c>
    </row>
    <row r="419" spans="1:10" x14ac:dyDescent="0.35">
      <c r="A419">
        <v>418</v>
      </c>
      <c r="B419" s="1">
        <v>45143</v>
      </c>
      <c r="C419" t="s">
        <v>431</v>
      </c>
      <c r="D419" t="s">
        <v>13</v>
      </c>
      <c r="E419">
        <v>60</v>
      </c>
      <c r="F419" t="str" cm="1">
        <f t="array" ref="F419">_xlfn.IFS(E419&lt;=35, "18-35", E419&lt;=50, "36-50", E419&lt;=65, "51-65", TRUE, "Over 65")</f>
        <v>51-65</v>
      </c>
      <c r="G419" t="s">
        <v>16</v>
      </c>
      <c r="H419">
        <v>2</v>
      </c>
      <c r="I419" s="2">
        <v>500</v>
      </c>
      <c r="J419" s="2">
        <v>1000</v>
      </c>
    </row>
    <row r="420" spans="1:10" x14ac:dyDescent="0.35">
      <c r="A420">
        <v>419</v>
      </c>
      <c r="B420" s="1">
        <v>45068</v>
      </c>
      <c r="C420" t="s">
        <v>432</v>
      </c>
      <c r="D420" t="s">
        <v>13</v>
      </c>
      <c r="E420">
        <v>44</v>
      </c>
      <c r="F420" t="str" cm="1">
        <f t="array" ref="F420">_xlfn.IFS(E420&lt;=35, "18-35", E420&lt;=50, "36-50", E420&lt;=65, "51-65", TRUE, "Over 65")</f>
        <v>36-50</v>
      </c>
      <c r="G420" t="s">
        <v>14</v>
      </c>
      <c r="H420">
        <v>3</v>
      </c>
      <c r="I420" s="2">
        <v>30</v>
      </c>
      <c r="J420" s="2">
        <v>90</v>
      </c>
    </row>
    <row r="421" spans="1:10" x14ac:dyDescent="0.35">
      <c r="A421">
        <v>420</v>
      </c>
      <c r="B421" s="1">
        <v>44949</v>
      </c>
      <c r="C421" t="s">
        <v>433</v>
      </c>
      <c r="D421" t="s">
        <v>13</v>
      </c>
      <c r="E421">
        <v>22</v>
      </c>
      <c r="F421" t="str" cm="1">
        <f t="array" ref="F421">_xlfn.IFS(E421&lt;=35, "18-35", E421&lt;=50, "36-50", E421&lt;=65, "51-65", TRUE, "Over 65")</f>
        <v>18-35</v>
      </c>
      <c r="G421" t="s">
        <v>14</v>
      </c>
      <c r="H421">
        <v>4</v>
      </c>
      <c r="I421" s="2">
        <v>500</v>
      </c>
      <c r="J421" s="2">
        <v>2000</v>
      </c>
    </row>
    <row r="422" spans="1:10" x14ac:dyDescent="0.35">
      <c r="A422">
        <v>421</v>
      </c>
      <c r="B422" s="1">
        <v>44928</v>
      </c>
      <c r="C422" t="s">
        <v>434</v>
      </c>
      <c r="D422" t="s">
        <v>13</v>
      </c>
      <c r="E422">
        <v>37</v>
      </c>
      <c r="F422" t="str" cm="1">
        <f t="array" ref="F422">_xlfn.IFS(E422&lt;=35, "18-35", E422&lt;=50, "36-50", E422&lt;=65, "51-65", TRUE, "Over 65")</f>
        <v>36-50</v>
      </c>
      <c r="G422" t="s">
        <v>14</v>
      </c>
      <c r="H422">
        <v>3</v>
      </c>
      <c r="I422" s="2">
        <v>500</v>
      </c>
      <c r="J422" s="2">
        <v>1500</v>
      </c>
    </row>
    <row r="423" spans="1:10" x14ac:dyDescent="0.35">
      <c r="A423">
        <v>422</v>
      </c>
      <c r="B423" s="1">
        <v>45097</v>
      </c>
      <c r="C423" t="s">
        <v>435</v>
      </c>
      <c r="D423" t="s">
        <v>13</v>
      </c>
      <c r="E423">
        <v>28</v>
      </c>
      <c r="F423" t="str" cm="1">
        <f t="array" ref="F423">_xlfn.IFS(E423&lt;=35, "18-35", E423&lt;=50, "36-50", E423&lt;=65, "51-65", TRUE, "Over 65")</f>
        <v>18-35</v>
      </c>
      <c r="G423" t="s">
        <v>14</v>
      </c>
      <c r="H423">
        <v>3</v>
      </c>
      <c r="I423" s="2">
        <v>30</v>
      </c>
      <c r="J423" s="2">
        <v>90</v>
      </c>
    </row>
    <row r="424" spans="1:10" x14ac:dyDescent="0.35">
      <c r="A424">
        <v>423</v>
      </c>
      <c r="B424" s="1">
        <v>44993</v>
      </c>
      <c r="C424" t="s">
        <v>436</v>
      </c>
      <c r="D424" t="s">
        <v>13</v>
      </c>
      <c r="E424">
        <v>27</v>
      </c>
      <c r="F424" t="str" cm="1">
        <f t="array" ref="F424">_xlfn.IFS(E424&lt;=35, "18-35", E424&lt;=50, "36-50", E424&lt;=65, "51-65", TRUE, "Over 65")</f>
        <v>18-35</v>
      </c>
      <c r="G424" t="s">
        <v>14</v>
      </c>
      <c r="H424">
        <v>1</v>
      </c>
      <c r="I424" s="2">
        <v>25</v>
      </c>
      <c r="J424" s="2">
        <v>25</v>
      </c>
    </row>
    <row r="425" spans="1:10" x14ac:dyDescent="0.35">
      <c r="A425">
        <v>424</v>
      </c>
      <c r="B425" s="1">
        <v>45253</v>
      </c>
      <c r="C425" t="s">
        <v>437</v>
      </c>
      <c r="D425" t="s">
        <v>10</v>
      </c>
      <c r="E425">
        <v>57</v>
      </c>
      <c r="F425" t="str" cm="1">
        <f t="array" ref="F425">_xlfn.IFS(E425&lt;=35, "18-35", E425&lt;=50, "36-50", E425&lt;=65, "51-65", TRUE, "Over 65")</f>
        <v>51-65</v>
      </c>
      <c r="G425" t="s">
        <v>11</v>
      </c>
      <c r="H425">
        <v>4</v>
      </c>
      <c r="I425" s="2">
        <v>300</v>
      </c>
      <c r="J425" s="2">
        <v>1200</v>
      </c>
    </row>
    <row r="426" spans="1:10" x14ac:dyDescent="0.35">
      <c r="A426">
        <v>425</v>
      </c>
      <c r="B426" s="1">
        <v>45061</v>
      </c>
      <c r="C426" t="s">
        <v>438</v>
      </c>
      <c r="D426" t="s">
        <v>13</v>
      </c>
      <c r="E426">
        <v>55</v>
      </c>
      <c r="F426" t="str" cm="1">
        <f t="array" ref="F426">_xlfn.IFS(E426&lt;=35, "18-35", E426&lt;=50, "36-50", E426&lt;=65, "51-65", TRUE, "Over 65")</f>
        <v>51-65</v>
      </c>
      <c r="G426" t="s">
        <v>16</v>
      </c>
      <c r="H426">
        <v>4</v>
      </c>
      <c r="I426" s="2">
        <v>30</v>
      </c>
      <c r="J426" s="2">
        <v>120</v>
      </c>
    </row>
    <row r="427" spans="1:10" x14ac:dyDescent="0.35">
      <c r="A427">
        <v>426</v>
      </c>
      <c r="B427" s="1">
        <v>45009</v>
      </c>
      <c r="C427" t="s">
        <v>439</v>
      </c>
      <c r="D427" t="s">
        <v>10</v>
      </c>
      <c r="E427">
        <v>23</v>
      </c>
      <c r="F427" t="str" cm="1">
        <f t="array" ref="F427">_xlfn.IFS(E427&lt;=35, "18-35", E427&lt;=50, "36-50", E427&lt;=65, "51-65", TRUE, "Over 65")</f>
        <v>18-35</v>
      </c>
      <c r="G427" t="s">
        <v>16</v>
      </c>
      <c r="H427">
        <v>3</v>
      </c>
      <c r="I427" s="2">
        <v>50</v>
      </c>
      <c r="J427" s="2">
        <v>150</v>
      </c>
    </row>
    <row r="428" spans="1:10" x14ac:dyDescent="0.35">
      <c r="A428">
        <v>427</v>
      </c>
      <c r="B428" s="1">
        <v>45153</v>
      </c>
      <c r="C428" t="s">
        <v>440</v>
      </c>
      <c r="D428" t="s">
        <v>10</v>
      </c>
      <c r="E428">
        <v>25</v>
      </c>
      <c r="F428" t="str" cm="1">
        <f t="array" ref="F428">_xlfn.IFS(E428&lt;=35, "18-35", E428&lt;=50, "36-50", E428&lt;=65, "51-65", TRUE, "Over 65")</f>
        <v>18-35</v>
      </c>
      <c r="G428" t="s">
        <v>16</v>
      </c>
      <c r="H428">
        <v>1</v>
      </c>
      <c r="I428" s="2">
        <v>25</v>
      </c>
      <c r="J428" s="2">
        <v>25</v>
      </c>
    </row>
    <row r="429" spans="1:10" x14ac:dyDescent="0.35">
      <c r="A429">
        <v>428</v>
      </c>
      <c r="B429" s="1">
        <v>45209</v>
      </c>
      <c r="C429" t="s">
        <v>441</v>
      </c>
      <c r="D429" t="s">
        <v>13</v>
      </c>
      <c r="E429">
        <v>40</v>
      </c>
      <c r="F429" t="str" cm="1">
        <f t="array" ref="F429">_xlfn.IFS(E429&lt;=35, "18-35", E429&lt;=50, "36-50", E429&lt;=65, "51-65", TRUE, "Over 65")</f>
        <v>36-50</v>
      </c>
      <c r="G429" t="s">
        <v>16</v>
      </c>
      <c r="H429">
        <v>4</v>
      </c>
      <c r="I429" s="2">
        <v>50</v>
      </c>
      <c r="J429" s="2">
        <v>200</v>
      </c>
    </row>
    <row r="430" spans="1:10" x14ac:dyDescent="0.35">
      <c r="A430">
        <v>429</v>
      </c>
      <c r="B430" s="1">
        <v>45288</v>
      </c>
      <c r="C430" t="s">
        <v>442</v>
      </c>
      <c r="D430" t="s">
        <v>10</v>
      </c>
      <c r="E430">
        <v>64</v>
      </c>
      <c r="F430" t="str" cm="1">
        <f t="array" ref="F430">_xlfn.IFS(E430&lt;=35, "18-35", E430&lt;=50, "36-50", E430&lt;=65, "51-65", TRUE, "Over 65")</f>
        <v>51-65</v>
      </c>
      <c r="G430" t="s">
        <v>16</v>
      </c>
      <c r="H430">
        <v>2</v>
      </c>
      <c r="I430" s="2">
        <v>25</v>
      </c>
      <c r="J430" s="2">
        <v>50</v>
      </c>
    </row>
    <row r="431" spans="1:10" x14ac:dyDescent="0.35">
      <c r="A431">
        <v>430</v>
      </c>
      <c r="B431" s="1">
        <v>45145</v>
      </c>
      <c r="C431" t="s">
        <v>443</v>
      </c>
      <c r="D431" t="s">
        <v>13</v>
      </c>
      <c r="E431">
        <v>43</v>
      </c>
      <c r="F431" t="str" cm="1">
        <f t="array" ref="F431">_xlfn.IFS(E431&lt;=35, "18-35", E431&lt;=50, "36-50", E431&lt;=65, "51-65", TRUE, "Over 65")</f>
        <v>36-50</v>
      </c>
      <c r="G431" t="s">
        <v>16</v>
      </c>
      <c r="H431">
        <v>3</v>
      </c>
      <c r="I431" s="2">
        <v>300</v>
      </c>
      <c r="J431" s="2">
        <v>900</v>
      </c>
    </row>
    <row r="432" spans="1:10" x14ac:dyDescent="0.35">
      <c r="A432">
        <v>431</v>
      </c>
      <c r="B432" s="1">
        <v>45214</v>
      </c>
      <c r="C432" t="s">
        <v>444</v>
      </c>
      <c r="D432" t="s">
        <v>10</v>
      </c>
      <c r="E432">
        <v>63</v>
      </c>
      <c r="F432" t="str" cm="1">
        <f t="array" ref="F432">_xlfn.IFS(E432&lt;=35, "18-35", E432&lt;=50, "36-50", E432&lt;=65, "51-65", TRUE, "Over 65")</f>
        <v>51-65</v>
      </c>
      <c r="G432" t="s">
        <v>16</v>
      </c>
      <c r="H432">
        <v>4</v>
      </c>
      <c r="I432" s="2">
        <v>300</v>
      </c>
      <c r="J432" s="2">
        <v>1200</v>
      </c>
    </row>
    <row r="433" spans="1:10" x14ac:dyDescent="0.35">
      <c r="A433">
        <v>432</v>
      </c>
      <c r="B433" s="1">
        <v>44931</v>
      </c>
      <c r="C433" t="s">
        <v>445</v>
      </c>
      <c r="D433" t="s">
        <v>13</v>
      </c>
      <c r="E433">
        <v>60</v>
      </c>
      <c r="F433" t="str" cm="1">
        <f t="array" ref="F433">_xlfn.IFS(E433&lt;=35, "18-35", E433&lt;=50, "36-50", E433&lt;=65, "51-65", TRUE, "Over 65")</f>
        <v>51-65</v>
      </c>
      <c r="G433" t="s">
        <v>16</v>
      </c>
      <c r="H433">
        <v>2</v>
      </c>
      <c r="I433" s="2">
        <v>500</v>
      </c>
      <c r="J433" s="2">
        <v>1000</v>
      </c>
    </row>
    <row r="434" spans="1:10" x14ac:dyDescent="0.35">
      <c r="A434">
        <v>433</v>
      </c>
      <c r="B434" s="1">
        <v>44984</v>
      </c>
      <c r="C434" t="s">
        <v>446</v>
      </c>
      <c r="D434" t="s">
        <v>10</v>
      </c>
      <c r="E434">
        <v>29</v>
      </c>
      <c r="F434" t="str" cm="1">
        <f t="array" ref="F434">_xlfn.IFS(E434&lt;=35, "18-35", E434&lt;=50, "36-50", E434&lt;=65, "51-65", TRUE, "Over 65")</f>
        <v>18-35</v>
      </c>
      <c r="G434" t="s">
        <v>11</v>
      </c>
      <c r="H434">
        <v>4</v>
      </c>
      <c r="I434" s="2">
        <v>50</v>
      </c>
      <c r="J434" s="2">
        <v>200</v>
      </c>
    </row>
    <row r="435" spans="1:10" x14ac:dyDescent="0.35">
      <c r="A435">
        <v>434</v>
      </c>
      <c r="B435" s="1">
        <v>44965</v>
      </c>
      <c r="C435" t="s">
        <v>447</v>
      </c>
      <c r="D435" t="s">
        <v>13</v>
      </c>
      <c r="E435">
        <v>43</v>
      </c>
      <c r="F435" t="str" cm="1">
        <f t="array" ref="F435">_xlfn.IFS(E435&lt;=35, "18-35", E435&lt;=50, "36-50", E435&lt;=65, "51-65", TRUE, "Over 65")</f>
        <v>36-50</v>
      </c>
      <c r="G435" t="s">
        <v>16</v>
      </c>
      <c r="H435">
        <v>2</v>
      </c>
      <c r="I435" s="2">
        <v>25</v>
      </c>
      <c r="J435" s="2">
        <v>50</v>
      </c>
    </row>
    <row r="436" spans="1:10" x14ac:dyDescent="0.35">
      <c r="A436">
        <v>435</v>
      </c>
      <c r="B436" s="1">
        <v>45280</v>
      </c>
      <c r="C436" t="s">
        <v>448</v>
      </c>
      <c r="D436" t="s">
        <v>13</v>
      </c>
      <c r="E436">
        <v>30</v>
      </c>
      <c r="F436" t="str" cm="1">
        <f t="array" ref="F436">_xlfn.IFS(E436&lt;=35, "18-35", E436&lt;=50, "36-50", E436&lt;=65, "51-65", TRUE, "Over 65")</f>
        <v>18-35</v>
      </c>
      <c r="G436" t="s">
        <v>11</v>
      </c>
      <c r="H436">
        <v>3</v>
      </c>
      <c r="I436" s="2">
        <v>300</v>
      </c>
      <c r="J436" s="2">
        <v>900</v>
      </c>
    </row>
    <row r="437" spans="1:10" x14ac:dyDescent="0.35">
      <c r="A437">
        <v>436</v>
      </c>
      <c r="B437" s="1">
        <v>45003</v>
      </c>
      <c r="C437" t="s">
        <v>449</v>
      </c>
      <c r="D437" t="s">
        <v>13</v>
      </c>
      <c r="E437">
        <v>57</v>
      </c>
      <c r="F437" t="str" cm="1">
        <f t="array" ref="F437">_xlfn.IFS(E437&lt;=35, "18-35", E437&lt;=50, "36-50", E437&lt;=65, "51-65", TRUE, "Over 65")</f>
        <v>51-65</v>
      </c>
      <c r="G437" t="s">
        <v>14</v>
      </c>
      <c r="H437">
        <v>4</v>
      </c>
      <c r="I437" s="2">
        <v>30</v>
      </c>
      <c r="J437" s="2">
        <v>120</v>
      </c>
    </row>
    <row r="438" spans="1:10" x14ac:dyDescent="0.35">
      <c r="A438">
        <v>437</v>
      </c>
      <c r="B438" s="1">
        <v>45206</v>
      </c>
      <c r="C438" t="s">
        <v>450</v>
      </c>
      <c r="D438" t="s">
        <v>13</v>
      </c>
      <c r="E438">
        <v>35</v>
      </c>
      <c r="F438" t="str" cm="1">
        <f t="array" ref="F438">_xlfn.IFS(E438&lt;=35, "18-35", E438&lt;=50, "36-50", E438&lt;=65, "51-65", TRUE, "Over 65")</f>
        <v>18-35</v>
      </c>
      <c r="G438" t="s">
        <v>16</v>
      </c>
      <c r="H438">
        <v>4</v>
      </c>
      <c r="I438" s="2">
        <v>300</v>
      </c>
      <c r="J438" s="2">
        <v>1200</v>
      </c>
    </row>
    <row r="439" spans="1:10" x14ac:dyDescent="0.35">
      <c r="A439">
        <v>438</v>
      </c>
      <c r="B439" s="1">
        <v>44945</v>
      </c>
      <c r="C439" t="s">
        <v>451</v>
      </c>
      <c r="D439" t="s">
        <v>13</v>
      </c>
      <c r="E439">
        <v>42</v>
      </c>
      <c r="F439" t="str" cm="1">
        <f t="array" ref="F439">_xlfn.IFS(E439&lt;=35, "18-35", E439&lt;=50, "36-50", E439&lt;=65, "51-65", TRUE, "Over 65")</f>
        <v>36-50</v>
      </c>
      <c r="G439" t="s">
        <v>14</v>
      </c>
      <c r="H439">
        <v>1</v>
      </c>
      <c r="I439" s="2">
        <v>30</v>
      </c>
      <c r="J439" s="2">
        <v>30</v>
      </c>
    </row>
    <row r="440" spans="1:10" x14ac:dyDescent="0.35">
      <c r="A440">
        <v>439</v>
      </c>
      <c r="B440" s="1">
        <v>45116</v>
      </c>
      <c r="C440" t="s">
        <v>452</v>
      </c>
      <c r="D440" t="s">
        <v>10</v>
      </c>
      <c r="E440">
        <v>50</v>
      </c>
      <c r="F440" t="str" cm="1">
        <f t="array" ref="F440">_xlfn.IFS(E440&lt;=35, "18-35", E440&lt;=50, "36-50", E440&lt;=65, "51-65", TRUE, "Over 65")</f>
        <v>36-50</v>
      </c>
      <c r="G440" t="s">
        <v>14</v>
      </c>
      <c r="H440">
        <v>3</v>
      </c>
      <c r="I440" s="2">
        <v>25</v>
      </c>
      <c r="J440" s="2">
        <v>75</v>
      </c>
    </row>
    <row r="441" spans="1:10" x14ac:dyDescent="0.35">
      <c r="A441">
        <v>440</v>
      </c>
      <c r="B441" s="1">
        <v>45225</v>
      </c>
      <c r="C441" t="s">
        <v>453</v>
      </c>
      <c r="D441" t="s">
        <v>10</v>
      </c>
      <c r="E441">
        <v>64</v>
      </c>
      <c r="F441" t="str" cm="1">
        <f t="array" ref="F441">_xlfn.IFS(E441&lt;=35, "18-35", E441&lt;=50, "36-50", E441&lt;=65, "51-65", TRUE, "Over 65")</f>
        <v>51-65</v>
      </c>
      <c r="G441" t="s">
        <v>14</v>
      </c>
      <c r="H441">
        <v>2</v>
      </c>
      <c r="I441" s="2">
        <v>300</v>
      </c>
      <c r="J441" s="2">
        <v>600</v>
      </c>
    </row>
    <row r="442" spans="1:10" x14ac:dyDescent="0.35">
      <c r="A442">
        <v>441</v>
      </c>
      <c r="B442" s="1">
        <v>45209</v>
      </c>
      <c r="C442" t="s">
        <v>454</v>
      </c>
      <c r="D442" t="s">
        <v>10</v>
      </c>
      <c r="E442">
        <v>57</v>
      </c>
      <c r="F442" t="str" cm="1">
        <f t="array" ref="F442">_xlfn.IFS(E442&lt;=35, "18-35", E442&lt;=50, "36-50", E442&lt;=65, "51-65", TRUE, "Over 65")</f>
        <v>51-65</v>
      </c>
      <c r="G442" t="s">
        <v>11</v>
      </c>
      <c r="H442">
        <v>4</v>
      </c>
      <c r="I442" s="2">
        <v>300</v>
      </c>
      <c r="J442" s="2">
        <v>1200</v>
      </c>
    </row>
    <row r="443" spans="1:10" x14ac:dyDescent="0.35">
      <c r="A443">
        <v>442</v>
      </c>
      <c r="B443" s="1">
        <v>45002</v>
      </c>
      <c r="C443" t="s">
        <v>455</v>
      </c>
      <c r="D443" t="s">
        <v>13</v>
      </c>
      <c r="E443">
        <v>60</v>
      </c>
      <c r="F443" t="str" cm="1">
        <f t="array" ref="F443">_xlfn.IFS(E443&lt;=35, "18-35", E443&lt;=50, "36-50", E443&lt;=65, "51-65", TRUE, "Over 65")</f>
        <v>51-65</v>
      </c>
      <c r="G443" t="s">
        <v>14</v>
      </c>
      <c r="H443">
        <v>4</v>
      </c>
      <c r="I443" s="2">
        <v>25</v>
      </c>
      <c r="J443" s="2">
        <v>100</v>
      </c>
    </row>
    <row r="444" spans="1:10" x14ac:dyDescent="0.35">
      <c r="A444">
        <v>443</v>
      </c>
      <c r="B444" s="1">
        <v>45147</v>
      </c>
      <c r="C444" t="s">
        <v>456</v>
      </c>
      <c r="D444" t="s">
        <v>10</v>
      </c>
      <c r="E444">
        <v>29</v>
      </c>
      <c r="F444" t="str" cm="1">
        <f t="array" ref="F444">_xlfn.IFS(E444&lt;=35, "18-35", E444&lt;=50, "36-50", E444&lt;=65, "51-65", TRUE, "Over 65")</f>
        <v>18-35</v>
      </c>
      <c r="G444" t="s">
        <v>14</v>
      </c>
      <c r="H444">
        <v>2</v>
      </c>
      <c r="I444" s="2">
        <v>300</v>
      </c>
      <c r="J444" s="2">
        <v>600</v>
      </c>
    </row>
    <row r="445" spans="1:10" x14ac:dyDescent="0.35">
      <c r="A445">
        <v>444</v>
      </c>
      <c r="B445" s="1">
        <v>44992</v>
      </c>
      <c r="C445" t="s">
        <v>457</v>
      </c>
      <c r="D445" t="s">
        <v>13</v>
      </c>
      <c r="E445">
        <v>61</v>
      </c>
      <c r="F445" t="str" cm="1">
        <f t="array" ref="F445">_xlfn.IFS(E445&lt;=35, "18-35", E445&lt;=50, "36-50", E445&lt;=65, "51-65", TRUE, "Over 65")</f>
        <v>51-65</v>
      </c>
      <c r="G445" t="s">
        <v>14</v>
      </c>
      <c r="H445">
        <v>3</v>
      </c>
      <c r="I445" s="2">
        <v>30</v>
      </c>
      <c r="J445" s="2">
        <v>90</v>
      </c>
    </row>
    <row r="446" spans="1:10" x14ac:dyDescent="0.35">
      <c r="A446">
        <v>445</v>
      </c>
      <c r="B446" s="1">
        <v>44948</v>
      </c>
      <c r="C446" t="s">
        <v>458</v>
      </c>
      <c r="D446" t="s">
        <v>13</v>
      </c>
      <c r="E446">
        <v>53</v>
      </c>
      <c r="F446" t="str" cm="1">
        <f t="array" ref="F446">_xlfn.IFS(E446&lt;=35, "18-35", E446&lt;=50, "36-50", E446&lt;=65, "51-65", TRUE, "Over 65")</f>
        <v>51-65</v>
      </c>
      <c r="G446" t="s">
        <v>16</v>
      </c>
      <c r="H446">
        <v>1</v>
      </c>
      <c r="I446" s="2">
        <v>300</v>
      </c>
      <c r="J446" s="2">
        <v>300</v>
      </c>
    </row>
    <row r="447" spans="1:10" x14ac:dyDescent="0.35">
      <c r="A447">
        <v>446</v>
      </c>
      <c r="B447" s="1">
        <v>45084</v>
      </c>
      <c r="C447" t="s">
        <v>459</v>
      </c>
      <c r="D447" t="s">
        <v>10</v>
      </c>
      <c r="E447">
        <v>21</v>
      </c>
      <c r="F447" t="str" cm="1">
        <f t="array" ref="F447">_xlfn.IFS(E447&lt;=35, "18-35", E447&lt;=50, "36-50", E447&lt;=65, "51-65", TRUE, "Over 65")</f>
        <v>18-35</v>
      </c>
      <c r="G447" t="s">
        <v>16</v>
      </c>
      <c r="H447">
        <v>1</v>
      </c>
      <c r="I447" s="2">
        <v>50</v>
      </c>
      <c r="J447" s="2">
        <v>50</v>
      </c>
    </row>
    <row r="448" spans="1:10" x14ac:dyDescent="0.35">
      <c r="A448">
        <v>447</v>
      </c>
      <c r="B448" s="1">
        <v>45113</v>
      </c>
      <c r="C448" t="s">
        <v>460</v>
      </c>
      <c r="D448" t="s">
        <v>10</v>
      </c>
      <c r="E448">
        <v>22</v>
      </c>
      <c r="F448" t="str" cm="1">
        <f t="array" ref="F448">_xlfn.IFS(E448&lt;=35, "18-35", E448&lt;=50, "36-50", E448&lt;=65, "51-65", TRUE, "Over 65")</f>
        <v>18-35</v>
      </c>
      <c r="G448" t="s">
        <v>11</v>
      </c>
      <c r="H448">
        <v>4</v>
      </c>
      <c r="I448" s="2">
        <v>500</v>
      </c>
      <c r="J448" s="2">
        <v>2000</v>
      </c>
    </row>
    <row r="449" spans="1:10" x14ac:dyDescent="0.35">
      <c r="A449">
        <v>448</v>
      </c>
      <c r="B449" s="1">
        <v>44947</v>
      </c>
      <c r="C449" t="s">
        <v>461</v>
      </c>
      <c r="D449" t="s">
        <v>13</v>
      </c>
      <c r="E449">
        <v>54</v>
      </c>
      <c r="F449" t="str" cm="1">
        <f t="array" ref="F449">_xlfn.IFS(E449&lt;=35, "18-35", E449&lt;=50, "36-50", E449&lt;=65, "51-65", TRUE, "Over 65")</f>
        <v>51-65</v>
      </c>
      <c r="G449" t="s">
        <v>11</v>
      </c>
      <c r="H449">
        <v>2</v>
      </c>
      <c r="I449" s="2">
        <v>30</v>
      </c>
      <c r="J449" s="2">
        <v>60</v>
      </c>
    </row>
    <row r="450" spans="1:10" x14ac:dyDescent="0.35">
      <c r="A450">
        <v>449</v>
      </c>
      <c r="B450" s="1">
        <v>45110</v>
      </c>
      <c r="C450" t="s">
        <v>462</v>
      </c>
      <c r="D450" t="s">
        <v>10</v>
      </c>
      <c r="E450">
        <v>25</v>
      </c>
      <c r="F450" t="str" cm="1">
        <f t="array" ref="F450">_xlfn.IFS(E450&lt;=35, "18-35", E450&lt;=50, "36-50", E450&lt;=65, "51-65", TRUE, "Over 65")</f>
        <v>18-35</v>
      </c>
      <c r="G450" t="s">
        <v>16</v>
      </c>
      <c r="H450">
        <v>4</v>
      </c>
      <c r="I450" s="2">
        <v>50</v>
      </c>
      <c r="J450" s="2">
        <v>200</v>
      </c>
    </row>
    <row r="451" spans="1:10" x14ac:dyDescent="0.35">
      <c r="A451">
        <v>450</v>
      </c>
      <c r="B451" s="1">
        <v>45034</v>
      </c>
      <c r="C451" t="s">
        <v>463</v>
      </c>
      <c r="D451" t="s">
        <v>13</v>
      </c>
      <c r="E451">
        <v>59</v>
      </c>
      <c r="F451" t="str" cm="1">
        <f t="array" ref="F451">_xlfn.IFS(E451&lt;=35, "18-35", E451&lt;=50, "36-50", E451&lt;=65, "51-65", TRUE, "Over 65")</f>
        <v>51-65</v>
      </c>
      <c r="G451" t="s">
        <v>11</v>
      </c>
      <c r="H451">
        <v>2</v>
      </c>
      <c r="I451" s="2">
        <v>25</v>
      </c>
      <c r="J451" s="2">
        <v>50</v>
      </c>
    </row>
    <row r="452" spans="1:10" x14ac:dyDescent="0.35">
      <c r="A452">
        <v>451</v>
      </c>
      <c r="B452" s="1">
        <v>45276</v>
      </c>
      <c r="C452" t="s">
        <v>464</v>
      </c>
      <c r="D452" t="s">
        <v>13</v>
      </c>
      <c r="E452">
        <v>45</v>
      </c>
      <c r="F452" t="str" cm="1">
        <f t="array" ref="F452">_xlfn.IFS(E452&lt;=35, "18-35", E452&lt;=50, "36-50", E452&lt;=65, "51-65", TRUE, "Over 65")</f>
        <v>36-50</v>
      </c>
      <c r="G452" t="s">
        <v>16</v>
      </c>
      <c r="H452">
        <v>1</v>
      </c>
      <c r="I452" s="2">
        <v>30</v>
      </c>
      <c r="J452" s="2">
        <v>30</v>
      </c>
    </row>
    <row r="453" spans="1:10" x14ac:dyDescent="0.35">
      <c r="A453">
        <v>452</v>
      </c>
      <c r="B453" s="1">
        <v>45054</v>
      </c>
      <c r="C453" t="s">
        <v>465</v>
      </c>
      <c r="D453" t="s">
        <v>13</v>
      </c>
      <c r="E453">
        <v>48</v>
      </c>
      <c r="F453" t="str" cm="1">
        <f t="array" ref="F453">_xlfn.IFS(E453&lt;=35, "18-35", E453&lt;=50, "36-50", E453&lt;=65, "51-65", TRUE, "Over 65")</f>
        <v>36-50</v>
      </c>
      <c r="G453" t="s">
        <v>14</v>
      </c>
      <c r="H453">
        <v>3</v>
      </c>
      <c r="I453" s="2">
        <v>500</v>
      </c>
      <c r="J453" s="2">
        <v>1500</v>
      </c>
    </row>
    <row r="454" spans="1:10" x14ac:dyDescent="0.35">
      <c r="A454">
        <v>453</v>
      </c>
      <c r="B454" s="1">
        <v>45268</v>
      </c>
      <c r="C454" t="s">
        <v>466</v>
      </c>
      <c r="D454" t="s">
        <v>13</v>
      </c>
      <c r="E454">
        <v>26</v>
      </c>
      <c r="F454" t="str" cm="1">
        <f t="array" ref="F454">_xlfn.IFS(E454&lt;=35, "18-35", E454&lt;=50, "36-50", E454&lt;=65, "51-65", TRUE, "Over 65")</f>
        <v>18-35</v>
      </c>
      <c r="G454" t="s">
        <v>14</v>
      </c>
      <c r="H454">
        <v>2</v>
      </c>
      <c r="I454" s="2">
        <v>500</v>
      </c>
      <c r="J454" s="2">
        <v>1000</v>
      </c>
    </row>
    <row r="455" spans="1:10" x14ac:dyDescent="0.35">
      <c r="A455">
        <v>454</v>
      </c>
      <c r="B455" s="1">
        <v>44979</v>
      </c>
      <c r="C455" t="s">
        <v>467</v>
      </c>
      <c r="D455" t="s">
        <v>13</v>
      </c>
      <c r="E455">
        <v>46</v>
      </c>
      <c r="F455" t="str" cm="1">
        <f t="array" ref="F455">_xlfn.IFS(E455&lt;=35, "18-35", E455&lt;=50, "36-50", E455&lt;=65, "51-65", TRUE, "Over 65")</f>
        <v>36-50</v>
      </c>
      <c r="G455" t="s">
        <v>11</v>
      </c>
      <c r="H455">
        <v>1</v>
      </c>
      <c r="I455" s="2">
        <v>25</v>
      </c>
      <c r="J455" s="2">
        <v>25</v>
      </c>
    </row>
    <row r="456" spans="1:10" x14ac:dyDescent="0.35">
      <c r="A456">
        <v>455</v>
      </c>
      <c r="B456" s="1">
        <v>45108</v>
      </c>
      <c r="C456" t="s">
        <v>468</v>
      </c>
      <c r="D456" t="s">
        <v>10</v>
      </c>
      <c r="E456">
        <v>31</v>
      </c>
      <c r="F456" t="str" cm="1">
        <f t="array" ref="F456">_xlfn.IFS(E456&lt;=35, "18-35", E456&lt;=50, "36-50", E456&lt;=65, "51-65", TRUE, "Over 65")</f>
        <v>18-35</v>
      </c>
      <c r="G456" t="s">
        <v>16</v>
      </c>
      <c r="H456">
        <v>4</v>
      </c>
      <c r="I456" s="2">
        <v>25</v>
      </c>
      <c r="J456" s="2">
        <v>100</v>
      </c>
    </row>
    <row r="457" spans="1:10" x14ac:dyDescent="0.35">
      <c r="A457">
        <v>456</v>
      </c>
      <c r="B457" s="1">
        <v>45213</v>
      </c>
      <c r="C457" t="s">
        <v>469</v>
      </c>
      <c r="D457" t="s">
        <v>10</v>
      </c>
      <c r="E457">
        <v>57</v>
      </c>
      <c r="F457" t="str" cm="1">
        <f t="array" ref="F457">_xlfn.IFS(E457&lt;=35, "18-35", E457&lt;=50, "36-50", E457&lt;=65, "51-65", TRUE, "Over 65")</f>
        <v>51-65</v>
      </c>
      <c r="G457" t="s">
        <v>16</v>
      </c>
      <c r="H457">
        <v>2</v>
      </c>
      <c r="I457" s="2">
        <v>30</v>
      </c>
      <c r="J457" s="2">
        <v>60</v>
      </c>
    </row>
    <row r="458" spans="1:10" x14ac:dyDescent="0.35">
      <c r="A458">
        <v>457</v>
      </c>
      <c r="B458" s="1">
        <v>45135</v>
      </c>
      <c r="C458" t="s">
        <v>470</v>
      </c>
      <c r="D458" t="s">
        <v>13</v>
      </c>
      <c r="E458">
        <v>58</v>
      </c>
      <c r="F458" t="str" cm="1">
        <f t="array" ref="F458">_xlfn.IFS(E458&lt;=35, "18-35", E458&lt;=50, "36-50", E458&lt;=65, "51-65", TRUE, "Over 65")</f>
        <v>51-65</v>
      </c>
      <c r="G458" t="s">
        <v>11</v>
      </c>
      <c r="H458">
        <v>3</v>
      </c>
      <c r="I458" s="2">
        <v>300</v>
      </c>
      <c r="J458" s="2">
        <v>900</v>
      </c>
    </row>
    <row r="459" spans="1:10" x14ac:dyDescent="0.35">
      <c r="A459">
        <v>458</v>
      </c>
      <c r="B459" s="1">
        <v>45244</v>
      </c>
      <c r="C459" t="s">
        <v>471</v>
      </c>
      <c r="D459" t="s">
        <v>13</v>
      </c>
      <c r="E459">
        <v>39</v>
      </c>
      <c r="F459" t="str" cm="1">
        <f t="array" ref="F459">_xlfn.IFS(E459&lt;=35, "18-35", E459&lt;=50, "36-50", E459&lt;=65, "51-65", TRUE, "Over 65")</f>
        <v>36-50</v>
      </c>
      <c r="G459" t="s">
        <v>16</v>
      </c>
      <c r="H459">
        <v>4</v>
      </c>
      <c r="I459" s="2">
        <v>25</v>
      </c>
      <c r="J459" s="2">
        <v>100</v>
      </c>
    </row>
    <row r="460" spans="1:10" x14ac:dyDescent="0.35">
      <c r="A460">
        <v>459</v>
      </c>
      <c r="B460" s="1">
        <v>45006</v>
      </c>
      <c r="C460" t="s">
        <v>472</v>
      </c>
      <c r="D460" t="s">
        <v>10</v>
      </c>
      <c r="E460">
        <v>28</v>
      </c>
      <c r="F460" t="str" cm="1">
        <f t="array" ref="F460">_xlfn.IFS(E460&lt;=35, "18-35", E460&lt;=50, "36-50", E460&lt;=65, "51-65", TRUE, "Over 65")</f>
        <v>18-35</v>
      </c>
      <c r="G460" t="s">
        <v>14</v>
      </c>
      <c r="H460">
        <v>4</v>
      </c>
      <c r="I460" s="2">
        <v>300</v>
      </c>
      <c r="J460" s="2">
        <v>1200</v>
      </c>
    </row>
    <row r="461" spans="1:10" x14ac:dyDescent="0.35">
      <c r="A461">
        <v>460</v>
      </c>
      <c r="B461" s="1">
        <v>45048</v>
      </c>
      <c r="C461" t="s">
        <v>473</v>
      </c>
      <c r="D461" t="s">
        <v>10</v>
      </c>
      <c r="E461">
        <v>40</v>
      </c>
      <c r="F461" t="str" cm="1">
        <f t="array" ref="F461">_xlfn.IFS(E461&lt;=35, "18-35", E461&lt;=50, "36-50", E461&lt;=65, "51-65", TRUE, "Over 65")</f>
        <v>36-50</v>
      </c>
      <c r="G461" t="s">
        <v>11</v>
      </c>
      <c r="H461">
        <v>1</v>
      </c>
      <c r="I461" s="2">
        <v>50</v>
      </c>
      <c r="J461" s="2">
        <v>50</v>
      </c>
    </row>
    <row r="462" spans="1:10" x14ac:dyDescent="0.35">
      <c r="A462">
        <v>461</v>
      </c>
      <c r="B462" s="1">
        <v>45010</v>
      </c>
      <c r="C462" t="s">
        <v>474</v>
      </c>
      <c r="D462" t="s">
        <v>13</v>
      </c>
      <c r="E462">
        <v>18</v>
      </c>
      <c r="F462" t="str" cm="1">
        <f t="array" ref="F462">_xlfn.IFS(E462&lt;=35, "18-35", E462&lt;=50, "36-50", E462&lt;=65, "51-65", TRUE, "Over 65")</f>
        <v>18-35</v>
      </c>
      <c r="G462" t="s">
        <v>11</v>
      </c>
      <c r="H462">
        <v>2</v>
      </c>
      <c r="I462" s="2">
        <v>500</v>
      </c>
      <c r="J462" s="2">
        <v>1000</v>
      </c>
    </row>
    <row r="463" spans="1:10" x14ac:dyDescent="0.35">
      <c r="A463">
        <v>462</v>
      </c>
      <c r="B463" s="1">
        <v>45017</v>
      </c>
      <c r="C463" t="s">
        <v>475</v>
      </c>
      <c r="D463" t="s">
        <v>10</v>
      </c>
      <c r="E463">
        <v>63</v>
      </c>
      <c r="F463" t="str" cm="1">
        <f t="array" ref="F463">_xlfn.IFS(E463&lt;=35, "18-35", E463&lt;=50, "36-50", E463&lt;=65, "51-65", TRUE, "Over 65")</f>
        <v>51-65</v>
      </c>
      <c r="G463" t="s">
        <v>16</v>
      </c>
      <c r="H463">
        <v>4</v>
      </c>
      <c r="I463" s="2">
        <v>300</v>
      </c>
      <c r="J463" s="2">
        <v>1200</v>
      </c>
    </row>
    <row r="464" spans="1:10" x14ac:dyDescent="0.35">
      <c r="A464">
        <v>463</v>
      </c>
      <c r="B464" s="1">
        <v>45138</v>
      </c>
      <c r="C464" t="s">
        <v>476</v>
      </c>
      <c r="D464" t="s">
        <v>13</v>
      </c>
      <c r="E464">
        <v>54</v>
      </c>
      <c r="F464" t="str" cm="1">
        <f t="array" ref="F464">_xlfn.IFS(E464&lt;=35, "18-35", E464&lt;=50, "36-50", E464&lt;=65, "51-65", TRUE, "Over 65")</f>
        <v>51-65</v>
      </c>
      <c r="G464" t="s">
        <v>11</v>
      </c>
      <c r="H464">
        <v>3</v>
      </c>
      <c r="I464" s="2">
        <v>500</v>
      </c>
      <c r="J464" s="2">
        <v>1500</v>
      </c>
    </row>
    <row r="465" spans="1:10" x14ac:dyDescent="0.35">
      <c r="A465">
        <v>464</v>
      </c>
      <c r="B465" s="1">
        <v>44939</v>
      </c>
      <c r="C465" t="s">
        <v>477</v>
      </c>
      <c r="D465" t="s">
        <v>10</v>
      </c>
      <c r="E465">
        <v>38</v>
      </c>
      <c r="F465" t="str" cm="1">
        <f t="array" ref="F465">_xlfn.IFS(E465&lt;=35, "18-35", E465&lt;=50, "36-50", E465&lt;=65, "51-65", TRUE, "Over 65")</f>
        <v>36-50</v>
      </c>
      <c r="G465" t="s">
        <v>16</v>
      </c>
      <c r="H465">
        <v>2</v>
      </c>
      <c r="I465" s="2">
        <v>300</v>
      </c>
      <c r="J465" s="2">
        <v>600</v>
      </c>
    </row>
    <row r="466" spans="1:10" x14ac:dyDescent="0.35">
      <c r="A466">
        <v>465</v>
      </c>
      <c r="B466" s="1">
        <v>45018</v>
      </c>
      <c r="C466" t="s">
        <v>478</v>
      </c>
      <c r="D466" t="s">
        <v>13</v>
      </c>
      <c r="E466">
        <v>43</v>
      </c>
      <c r="F466" t="str" cm="1">
        <f t="array" ref="F466">_xlfn.IFS(E466&lt;=35, "18-35", E466&lt;=50, "36-50", E466&lt;=65, "51-65", TRUE, "Over 65")</f>
        <v>36-50</v>
      </c>
      <c r="G466" t="s">
        <v>16</v>
      </c>
      <c r="H466">
        <v>3</v>
      </c>
      <c r="I466" s="2">
        <v>50</v>
      </c>
      <c r="J466" s="2">
        <v>150</v>
      </c>
    </row>
    <row r="467" spans="1:10" x14ac:dyDescent="0.35">
      <c r="A467">
        <v>466</v>
      </c>
      <c r="B467" s="1">
        <v>45097</v>
      </c>
      <c r="C467" t="s">
        <v>479</v>
      </c>
      <c r="D467" t="s">
        <v>10</v>
      </c>
      <c r="E467">
        <v>63</v>
      </c>
      <c r="F467" t="str" cm="1">
        <f t="array" ref="F467">_xlfn.IFS(E467&lt;=35, "18-35", E467&lt;=50, "36-50", E467&lt;=65, "51-65", TRUE, "Over 65")</f>
        <v>51-65</v>
      </c>
      <c r="G467" t="s">
        <v>16</v>
      </c>
      <c r="H467">
        <v>4</v>
      </c>
      <c r="I467" s="2">
        <v>25</v>
      </c>
      <c r="J467" s="2">
        <v>100</v>
      </c>
    </row>
    <row r="468" spans="1:10" x14ac:dyDescent="0.35">
      <c r="A468">
        <v>467</v>
      </c>
      <c r="B468" s="1">
        <v>45137</v>
      </c>
      <c r="C468" t="s">
        <v>480</v>
      </c>
      <c r="D468" t="s">
        <v>13</v>
      </c>
      <c r="E468">
        <v>53</v>
      </c>
      <c r="F468" t="str" cm="1">
        <f t="array" ref="F468">_xlfn.IFS(E468&lt;=35, "18-35", E468&lt;=50, "36-50", E468&lt;=65, "51-65", TRUE, "Over 65")</f>
        <v>51-65</v>
      </c>
      <c r="G468" t="s">
        <v>16</v>
      </c>
      <c r="H468">
        <v>3</v>
      </c>
      <c r="I468" s="2">
        <v>50</v>
      </c>
      <c r="J468" s="2">
        <v>150</v>
      </c>
    </row>
    <row r="469" spans="1:10" x14ac:dyDescent="0.35">
      <c r="A469">
        <v>468</v>
      </c>
      <c r="B469" s="1">
        <v>45269</v>
      </c>
      <c r="C469" t="s">
        <v>481</v>
      </c>
      <c r="D469" t="s">
        <v>10</v>
      </c>
      <c r="E469">
        <v>40</v>
      </c>
      <c r="F469" t="str" cm="1">
        <f t="array" ref="F469">_xlfn.IFS(E469&lt;=35, "18-35", E469&lt;=50, "36-50", E469&lt;=65, "51-65", TRUE, "Over 65")</f>
        <v>36-50</v>
      </c>
      <c r="G469" t="s">
        <v>16</v>
      </c>
      <c r="H469">
        <v>1</v>
      </c>
      <c r="I469" s="2">
        <v>25</v>
      </c>
      <c r="J469" s="2">
        <v>25</v>
      </c>
    </row>
    <row r="470" spans="1:10" x14ac:dyDescent="0.35">
      <c r="A470">
        <v>469</v>
      </c>
      <c r="B470" s="1">
        <v>45054</v>
      </c>
      <c r="C470" t="s">
        <v>482</v>
      </c>
      <c r="D470" t="s">
        <v>10</v>
      </c>
      <c r="E470">
        <v>18</v>
      </c>
      <c r="F470" t="str" cm="1">
        <f t="array" ref="F470">_xlfn.IFS(E470&lt;=35, "18-35", E470&lt;=50, "36-50", E470&lt;=65, "51-65", TRUE, "Over 65")</f>
        <v>18-35</v>
      </c>
      <c r="G470" t="s">
        <v>11</v>
      </c>
      <c r="H470">
        <v>3</v>
      </c>
      <c r="I470" s="2">
        <v>25</v>
      </c>
      <c r="J470" s="2">
        <v>75</v>
      </c>
    </row>
    <row r="471" spans="1:10" x14ac:dyDescent="0.35">
      <c r="A471">
        <v>470</v>
      </c>
      <c r="B471" s="1">
        <v>45063</v>
      </c>
      <c r="C471" t="s">
        <v>483</v>
      </c>
      <c r="D471" t="s">
        <v>13</v>
      </c>
      <c r="E471">
        <v>57</v>
      </c>
      <c r="F471" t="str" cm="1">
        <f t="array" ref="F471">_xlfn.IFS(E471&lt;=35, "18-35", E471&lt;=50, "36-50", E471&lt;=65, "51-65", TRUE, "Over 65")</f>
        <v>51-65</v>
      </c>
      <c r="G471" t="s">
        <v>14</v>
      </c>
      <c r="H471">
        <v>2</v>
      </c>
      <c r="I471" s="2">
        <v>500</v>
      </c>
      <c r="J471" s="2">
        <v>1000</v>
      </c>
    </row>
    <row r="472" spans="1:10" x14ac:dyDescent="0.35">
      <c r="A472">
        <v>471</v>
      </c>
      <c r="B472" s="1">
        <v>45008</v>
      </c>
      <c r="C472" t="s">
        <v>484</v>
      </c>
      <c r="D472" t="s">
        <v>10</v>
      </c>
      <c r="E472">
        <v>32</v>
      </c>
      <c r="F472" t="str" cm="1">
        <f t="array" ref="F472">_xlfn.IFS(E472&lt;=35, "18-35", E472&lt;=50, "36-50", E472&lt;=65, "51-65", TRUE, "Over 65")</f>
        <v>18-35</v>
      </c>
      <c r="G472" t="s">
        <v>14</v>
      </c>
      <c r="H472">
        <v>3</v>
      </c>
      <c r="I472" s="2">
        <v>50</v>
      </c>
      <c r="J472" s="2">
        <v>150</v>
      </c>
    </row>
    <row r="473" spans="1:10" x14ac:dyDescent="0.35">
      <c r="A473">
        <v>472</v>
      </c>
      <c r="B473" s="1">
        <v>45286</v>
      </c>
      <c r="C473" t="s">
        <v>485</v>
      </c>
      <c r="D473" t="s">
        <v>13</v>
      </c>
      <c r="E473">
        <v>38</v>
      </c>
      <c r="F473" t="str" cm="1">
        <f t="array" ref="F473">_xlfn.IFS(E473&lt;=35, "18-35", E473&lt;=50, "36-50", E473&lt;=65, "51-65", TRUE, "Over 65")</f>
        <v>36-50</v>
      </c>
      <c r="G473" t="s">
        <v>11</v>
      </c>
      <c r="H473">
        <v>3</v>
      </c>
      <c r="I473" s="2">
        <v>300</v>
      </c>
      <c r="J473" s="2">
        <v>900</v>
      </c>
    </row>
    <row r="474" spans="1:10" x14ac:dyDescent="0.35">
      <c r="A474">
        <v>473</v>
      </c>
      <c r="B474" s="1">
        <v>44982</v>
      </c>
      <c r="C474" t="s">
        <v>486</v>
      </c>
      <c r="D474" t="s">
        <v>10</v>
      </c>
      <c r="E474">
        <v>64</v>
      </c>
      <c r="F474" t="str" cm="1">
        <f t="array" ref="F474">_xlfn.IFS(E474&lt;=35, "18-35", E474&lt;=50, "36-50", E474&lt;=65, "51-65", TRUE, "Over 65")</f>
        <v>51-65</v>
      </c>
      <c r="G474" t="s">
        <v>11</v>
      </c>
      <c r="H474">
        <v>1</v>
      </c>
      <c r="I474" s="2">
        <v>50</v>
      </c>
      <c r="J474" s="2">
        <v>50</v>
      </c>
    </row>
    <row r="475" spans="1:10" x14ac:dyDescent="0.35">
      <c r="A475">
        <v>474</v>
      </c>
      <c r="B475" s="1">
        <v>45122</v>
      </c>
      <c r="C475" t="s">
        <v>487</v>
      </c>
      <c r="D475" t="s">
        <v>13</v>
      </c>
      <c r="E475">
        <v>26</v>
      </c>
      <c r="F475" t="str" cm="1">
        <f t="array" ref="F475">_xlfn.IFS(E475&lt;=35, "18-35", E475&lt;=50, "36-50", E475&lt;=65, "51-65", TRUE, "Over 65")</f>
        <v>18-35</v>
      </c>
      <c r="G475" t="s">
        <v>14</v>
      </c>
      <c r="H475">
        <v>3</v>
      </c>
      <c r="I475" s="2">
        <v>500</v>
      </c>
      <c r="J475" s="2">
        <v>1500</v>
      </c>
    </row>
    <row r="476" spans="1:10" x14ac:dyDescent="0.35">
      <c r="A476">
        <v>475</v>
      </c>
      <c r="B476" s="1">
        <v>44946</v>
      </c>
      <c r="C476" t="s">
        <v>488</v>
      </c>
      <c r="D476" t="s">
        <v>10</v>
      </c>
      <c r="E476">
        <v>26</v>
      </c>
      <c r="F476" t="str" cm="1">
        <f t="array" ref="F476">_xlfn.IFS(E476&lt;=35, "18-35", E476&lt;=50, "36-50", E476&lt;=65, "51-65", TRUE, "Over 65")</f>
        <v>18-35</v>
      </c>
      <c r="G476" t="s">
        <v>14</v>
      </c>
      <c r="H476">
        <v>3</v>
      </c>
      <c r="I476" s="2">
        <v>25</v>
      </c>
      <c r="J476" s="2">
        <v>75</v>
      </c>
    </row>
    <row r="477" spans="1:10" x14ac:dyDescent="0.35">
      <c r="A477">
        <v>476</v>
      </c>
      <c r="B477" s="1">
        <v>45167</v>
      </c>
      <c r="C477" t="s">
        <v>489</v>
      </c>
      <c r="D477" t="s">
        <v>13</v>
      </c>
      <c r="E477">
        <v>27</v>
      </c>
      <c r="F477" t="str" cm="1">
        <f t="array" ref="F477">_xlfn.IFS(E477&lt;=35, "18-35", E477&lt;=50, "36-50", E477&lt;=65, "51-65", TRUE, "Over 65")</f>
        <v>18-35</v>
      </c>
      <c r="G477" t="s">
        <v>14</v>
      </c>
      <c r="H477">
        <v>4</v>
      </c>
      <c r="I477" s="2">
        <v>500</v>
      </c>
      <c r="J477" s="2">
        <v>2000</v>
      </c>
    </row>
    <row r="478" spans="1:10" x14ac:dyDescent="0.35">
      <c r="A478">
        <v>477</v>
      </c>
      <c r="B478" s="1">
        <v>45040</v>
      </c>
      <c r="C478" t="s">
        <v>490</v>
      </c>
      <c r="D478" t="s">
        <v>10</v>
      </c>
      <c r="E478">
        <v>43</v>
      </c>
      <c r="F478" t="str" cm="1">
        <f t="array" ref="F478">_xlfn.IFS(E478&lt;=35, "18-35", E478&lt;=50, "36-50", E478&lt;=65, "51-65", TRUE, "Over 65")</f>
        <v>36-50</v>
      </c>
      <c r="G478" t="s">
        <v>14</v>
      </c>
      <c r="H478">
        <v>4</v>
      </c>
      <c r="I478" s="2">
        <v>30</v>
      </c>
      <c r="J478" s="2">
        <v>120</v>
      </c>
    </row>
    <row r="479" spans="1:10" x14ac:dyDescent="0.35">
      <c r="A479">
        <v>478</v>
      </c>
      <c r="B479" s="1">
        <v>45029</v>
      </c>
      <c r="C479" t="s">
        <v>491</v>
      </c>
      <c r="D479" t="s">
        <v>13</v>
      </c>
      <c r="E479">
        <v>58</v>
      </c>
      <c r="F479" t="str" cm="1">
        <f t="array" ref="F479">_xlfn.IFS(E479&lt;=35, "18-35", E479&lt;=50, "36-50", E479&lt;=65, "51-65", TRUE, "Over 65")</f>
        <v>51-65</v>
      </c>
      <c r="G479" t="s">
        <v>14</v>
      </c>
      <c r="H479">
        <v>2</v>
      </c>
      <c r="I479" s="2">
        <v>30</v>
      </c>
      <c r="J479" s="2">
        <v>60</v>
      </c>
    </row>
    <row r="480" spans="1:10" x14ac:dyDescent="0.35">
      <c r="A480">
        <v>479</v>
      </c>
      <c r="B480" s="1">
        <v>45162</v>
      </c>
      <c r="C480" t="s">
        <v>492</v>
      </c>
      <c r="D480" t="s">
        <v>10</v>
      </c>
      <c r="E480">
        <v>52</v>
      </c>
      <c r="F480" t="str" cm="1">
        <f t="array" ref="F480">_xlfn.IFS(E480&lt;=35, "18-35", E480&lt;=50, "36-50", E480&lt;=65, "51-65", TRUE, "Over 65")</f>
        <v>51-65</v>
      </c>
      <c r="G480" t="s">
        <v>16</v>
      </c>
      <c r="H480">
        <v>4</v>
      </c>
      <c r="I480" s="2">
        <v>300</v>
      </c>
      <c r="J480" s="2">
        <v>1200</v>
      </c>
    </row>
    <row r="481" spans="1:10" x14ac:dyDescent="0.35">
      <c r="A481">
        <v>480</v>
      </c>
      <c r="B481" s="1">
        <v>45106</v>
      </c>
      <c r="C481" t="s">
        <v>493</v>
      </c>
      <c r="D481" t="s">
        <v>13</v>
      </c>
      <c r="E481">
        <v>42</v>
      </c>
      <c r="F481" t="str" cm="1">
        <f t="array" ref="F481">_xlfn.IFS(E481&lt;=35, "18-35", E481&lt;=50, "36-50", E481&lt;=65, "51-65", TRUE, "Over 65")</f>
        <v>36-50</v>
      </c>
      <c r="G481" t="s">
        <v>11</v>
      </c>
      <c r="H481">
        <v>4</v>
      </c>
      <c r="I481" s="2">
        <v>500</v>
      </c>
      <c r="J481" s="2">
        <v>2000</v>
      </c>
    </row>
    <row r="482" spans="1:10" x14ac:dyDescent="0.35">
      <c r="A482">
        <v>481</v>
      </c>
      <c r="B482" s="1">
        <v>45083</v>
      </c>
      <c r="C482" t="s">
        <v>494</v>
      </c>
      <c r="D482" t="s">
        <v>13</v>
      </c>
      <c r="E482">
        <v>43</v>
      </c>
      <c r="F482" t="str" cm="1">
        <f t="array" ref="F482">_xlfn.IFS(E482&lt;=35, "18-35", E482&lt;=50, "36-50", E482&lt;=65, "51-65", TRUE, "Over 65")</f>
        <v>36-50</v>
      </c>
      <c r="G482" t="s">
        <v>16</v>
      </c>
      <c r="H482">
        <v>4</v>
      </c>
      <c r="I482" s="2">
        <v>300</v>
      </c>
      <c r="J482" s="2">
        <v>1200</v>
      </c>
    </row>
    <row r="483" spans="1:10" x14ac:dyDescent="0.35">
      <c r="A483">
        <v>482</v>
      </c>
      <c r="B483" s="1">
        <v>45043</v>
      </c>
      <c r="C483" t="s">
        <v>495</v>
      </c>
      <c r="D483" t="s">
        <v>13</v>
      </c>
      <c r="E483">
        <v>28</v>
      </c>
      <c r="F483" t="str" cm="1">
        <f t="array" ref="F483">_xlfn.IFS(E483&lt;=35, "18-35", E483&lt;=50, "36-50", E483&lt;=65, "51-65", TRUE, "Over 65")</f>
        <v>18-35</v>
      </c>
      <c r="G483" t="s">
        <v>14</v>
      </c>
      <c r="H483">
        <v>4</v>
      </c>
      <c r="I483" s="2">
        <v>300</v>
      </c>
      <c r="J483" s="2">
        <v>1200</v>
      </c>
    </row>
    <row r="484" spans="1:10" x14ac:dyDescent="0.35">
      <c r="A484">
        <v>483</v>
      </c>
      <c r="B484" s="1">
        <v>45041</v>
      </c>
      <c r="C484" t="s">
        <v>496</v>
      </c>
      <c r="D484" t="s">
        <v>10</v>
      </c>
      <c r="E484">
        <v>55</v>
      </c>
      <c r="F484" t="str" cm="1">
        <f t="array" ref="F484">_xlfn.IFS(E484&lt;=35, "18-35", E484&lt;=50, "36-50", E484&lt;=65, "51-65", TRUE, "Over 65")</f>
        <v>51-65</v>
      </c>
      <c r="G484" t="s">
        <v>14</v>
      </c>
      <c r="H484">
        <v>1</v>
      </c>
      <c r="I484" s="2">
        <v>30</v>
      </c>
      <c r="J484" s="2">
        <v>30</v>
      </c>
    </row>
    <row r="485" spans="1:10" x14ac:dyDescent="0.35">
      <c r="A485">
        <v>484</v>
      </c>
      <c r="B485" s="1">
        <v>44939</v>
      </c>
      <c r="C485" t="s">
        <v>497</v>
      </c>
      <c r="D485" t="s">
        <v>13</v>
      </c>
      <c r="E485">
        <v>19</v>
      </c>
      <c r="F485" t="str" cm="1">
        <f t="array" ref="F485">_xlfn.IFS(E485&lt;=35, "18-35", E485&lt;=50, "36-50", E485&lt;=65, "51-65", TRUE, "Over 65")</f>
        <v>18-35</v>
      </c>
      <c r="G485" t="s">
        <v>14</v>
      </c>
      <c r="H485">
        <v>4</v>
      </c>
      <c r="I485" s="2">
        <v>300</v>
      </c>
      <c r="J485" s="2">
        <v>1200</v>
      </c>
    </row>
    <row r="486" spans="1:10" x14ac:dyDescent="0.35">
      <c r="A486">
        <v>485</v>
      </c>
      <c r="B486" s="1">
        <v>45264</v>
      </c>
      <c r="C486" t="s">
        <v>498</v>
      </c>
      <c r="D486" t="s">
        <v>10</v>
      </c>
      <c r="E486">
        <v>24</v>
      </c>
      <c r="F486" t="str" cm="1">
        <f t="array" ref="F486">_xlfn.IFS(E486&lt;=35, "18-35", E486&lt;=50, "36-50", E486&lt;=65, "51-65", TRUE, "Over 65")</f>
        <v>18-35</v>
      </c>
      <c r="G486" t="s">
        <v>16</v>
      </c>
      <c r="H486">
        <v>1</v>
      </c>
      <c r="I486" s="2">
        <v>30</v>
      </c>
      <c r="J486" s="2">
        <v>30</v>
      </c>
    </row>
    <row r="487" spans="1:10" x14ac:dyDescent="0.35">
      <c r="A487">
        <v>486</v>
      </c>
      <c r="B487" s="1">
        <v>45025</v>
      </c>
      <c r="C487" t="s">
        <v>499</v>
      </c>
      <c r="D487" t="s">
        <v>13</v>
      </c>
      <c r="E487">
        <v>35</v>
      </c>
      <c r="F487" t="str" cm="1">
        <f t="array" ref="F487">_xlfn.IFS(E487&lt;=35, "18-35", E487&lt;=50, "36-50", E487&lt;=65, "51-65", TRUE, "Over 65")</f>
        <v>18-35</v>
      </c>
      <c r="G487" t="s">
        <v>16</v>
      </c>
      <c r="H487">
        <v>1</v>
      </c>
      <c r="I487" s="2">
        <v>25</v>
      </c>
      <c r="J487" s="2">
        <v>25</v>
      </c>
    </row>
    <row r="488" spans="1:10" x14ac:dyDescent="0.35">
      <c r="A488">
        <v>487</v>
      </c>
      <c r="B488" s="1">
        <v>45131</v>
      </c>
      <c r="C488" t="s">
        <v>500</v>
      </c>
      <c r="D488" t="s">
        <v>10</v>
      </c>
      <c r="E488">
        <v>44</v>
      </c>
      <c r="F488" t="str" cm="1">
        <f t="array" ref="F488">_xlfn.IFS(E488&lt;=35, "18-35", E488&lt;=50, "36-50", E488&lt;=65, "51-65", TRUE, "Over 65")</f>
        <v>36-50</v>
      </c>
      <c r="G488" t="s">
        <v>14</v>
      </c>
      <c r="H488">
        <v>4</v>
      </c>
      <c r="I488" s="2">
        <v>500</v>
      </c>
      <c r="J488" s="2">
        <v>2000</v>
      </c>
    </row>
    <row r="489" spans="1:10" x14ac:dyDescent="0.35">
      <c r="A489">
        <v>488</v>
      </c>
      <c r="B489" s="1">
        <v>45095</v>
      </c>
      <c r="C489" t="s">
        <v>501</v>
      </c>
      <c r="D489" t="s">
        <v>13</v>
      </c>
      <c r="E489">
        <v>51</v>
      </c>
      <c r="F489" t="str" cm="1">
        <f t="array" ref="F489">_xlfn.IFS(E489&lt;=35, "18-35", E489&lt;=50, "36-50", E489&lt;=65, "51-65", TRUE, "Over 65")</f>
        <v>51-65</v>
      </c>
      <c r="G489" t="s">
        <v>16</v>
      </c>
      <c r="H489">
        <v>3</v>
      </c>
      <c r="I489" s="2">
        <v>300</v>
      </c>
      <c r="J489" s="2">
        <v>900</v>
      </c>
    </row>
    <row r="490" spans="1:10" x14ac:dyDescent="0.35">
      <c r="A490">
        <v>489</v>
      </c>
      <c r="B490" s="1">
        <v>45069</v>
      </c>
      <c r="C490" t="s">
        <v>502</v>
      </c>
      <c r="D490" t="s">
        <v>10</v>
      </c>
      <c r="E490">
        <v>44</v>
      </c>
      <c r="F490" t="str" cm="1">
        <f t="array" ref="F490">_xlfn.IFS(E490&lt;=35, "18-35", E490&lt;=50, "36-50", E490&lt;=65, "51-65", TRUE, "Over 65")</f>
        <v>36-50</v>
      </c>
      <c r="G490" t="s">
        <v>16</v>
      </c>
      <c r="H490">
        <v>1</v>
      </c>
      <c r="I490" s="2">
        <v>30</v>
      </c>
      <c r="J490" s="2">
        <v>30</v>
      </c>
    </row>
    <row r="491" spans="1:10" x14ac:dyDescent="0.35">
      <c r="A491">
        <v>490</v>
      </c>
      <c r="B491" s="1">
        <v>44962</v>
      </c>
      <c r="C491" t="s">
        <v>503</v>
      </c>
      <c r="D491" t="s">
        <v>10</v>
      </c>
      <c r="E491">
        <v>34</v>
      </c>
      <c r="F491" t="str" cm="1">
        <f t="array" ref="F491">_xlfn.IFS(E491&lt;=35, "18-35", E491&lt;=50, "36-50", E491&lt;=65, "51-65", TRUE, "Over 65")</f>
        <v>18-35</v>
      </c>
      <c r="G491" t="s">
        <v>14</v>
      </c>
      <c r="H491">
        <v>3</v>
      </c>
      <c r="I491" s="2">
        <v>50</v>
      </c>
      <c r="J491" s="2">
        <v>150</v>
      </c>
    </row>
    <row r="492" spans="1:10" x14ac:dyDescent="0.35">
      <c r="A492">
        <v>491</v>
      </c>
      <c r="B492" s="1">
        <v>45069</v>
      </c>
      <c r="C492" t="s">
        <v>504</v>
      </c>
      <c r="D492" t="s">
        <v>13</v>
      </c>
      <c r="E492">
        <v>60</v>
      </c>
      <c r="F492" t="str" cm="1">
        <f t="array" ref="F492">_xlfn.IFS(E492&lt;=35, "18-35", E492&lt;=50, "36-50", E492&lt;=65, "51-65", TRUE, "Over 65")</f>
        <v>51-65</v>
      </c>
      <c r="G492" t="s">
        <v>16</v>
      </c>
      <c r="H492">
        <v>3</v>
      </c>
      <c r="I492" s="2">
        <v>300</v>
      </c>
      <c r="J492" s="2">
        <v>900</v>
      </c>
    </row>
    <row r="493" spans="1:10" x14ac:dyDescent="0.35">
      <c r="A493">
        <v>492</v>
      </c>
      <c r="B493" s="1">
        <v>45106</v>
      </c>
      <c r="C493" t="s">
        <v>505</v>
      </c>
      <c r="D493" t="s">
        <v>10</v>
      </c>
      <c r="E493">
        <v>61</v>
      </c>
      <c r="F493" t="str" cm="1">
        <f t="array" ref="F493">_xlfn.IFS(E493&lt;=35, "18-35", E493&lt;=50, "36-50", E493&lt;=65, "51-65", TRUE, "Over 65")</f>
        <v>51-65</v>
      </c>
      <c r="G493" t="s">
        <v>11</v>
      </c>
      <c r="H493">
        <v>4</v>
      </c>
      <c r="I493" s="2">
        <v>25</v>
      </c>
      <c r="J493" s="2">
        <v>100</v>
      </c>
    </row>
    <row r="494" spans="1:10" x14ac:dyDescent="0.35">
      <c r="A494">
        <v>493</v>
      </c>
      <c r="B494" s="1">
        <v>45255</v>
      </c>
      <c r="C494" t="s">
        <v>506</v>
      </c>
      <c r="D494" t="s">
        <v>10</v>
      </c>
      <c r="E494">
        <v>41</v>
      </c>
      <c r="F494" t="str" cm="1">
        <f t="array" ref="F494">_xlfn.IFS(E494&lt;=35, "18-35", E494&lt;=50, "36-50", E494&lt;=65, "51-65", TRUE, "Over 65")</f>
        <v>36-50</v>
      </c>
      <c r="G494" t="s">
        <v>11</v>
      </c>
      <c r="H494">
        <v>2</v>
      </c>
      <c r="I494" s="2">
        <v>25</v>
      </c>
      <c r="J494" s="2">
        <v>50</v>
      </c>
    </row>
    <row r="495" spans="1:10" x14ac:dyDescent="0.35">
      <c r="A495">
        <v>494</v>
      </c>
      <c r="B495" s="1">
        <v>45187</v>
      </c>
      <c r="C495" t="s">
        <v>507</v>
      </c>
      <c r="D495" t="s">
        <v>13</v>
      </c>
      <c r="E495">
        <v>42</v>
      </c>
      <c r="F495" t="str" cm="1">
        <f t="array" ref="F495">_xlfn.IFS(E495&lt;=35, "18-35", E495&lt;=50, "36-50", E495&lt;=65, "51-65", TRUE, "Over 65")</f>
        <v>36-50</v>
      </c>
      <c r="G495" t="s">
        <v>11</v>
      </c>
      <c r="H495">
        <v>4</v>
      </c>
      <c r="I495" s="2">
        <v>50</v>
      </c>
      <c r="J495" s="2">
        <v>200</v>
      </c>
    </row>
    <row r="496" spans="1:10" x14ac:dyDescent="0.35">
      <c r="A496">
        <v>495</v>
      </c>
      <c r="B496" s="1">
        <v>45131</v>
      </c>
      <c r="C496" t="s">
        <v>508</v>
      </c>
      <c r="D496" t="s">
        <v>10</v>
      </c>
      <c r="E496">
        <v>24</v>
      </c>
      <c r="F496" t="str" cm="1">
        <f t="array" ref="F496">_xlfn.IFS(E496&lt;=35, "18-35", E496&lt;=50, "36-50", E496&lt;=65, "51-65", TRUE, "Over 65")</f>
        <v>18-35</v>
      </c>
      <c r="G496" t="s">
        <v>11</v>
      </c>
      <c r="H496">
        <v>2</v>
      </c>
      <c r="I496" s="2">
        <v>30</v>
      </c>
      <c r="J496" s="2">
        <v>60</v>
      </c>
    </row>
    <row r="497" spans="1:10" x14ac:dyDescent="0.35">
      <c r="A497">
        <v>496</v>
      </c>
      <c r="B497" s="1">
        <v>45274</v>
      </c>
      <c r="C497" t="s">
        <v>509</v>
      </c>
      <c r="D497" t="s">
        <v>10</v>
      </c>
      <c r="E497">
        <v>23</v>
      </c>
      <c r="F497" t="str" cm="1">
        <f t="array" ref="F497">_xlfn.IFS(E497&lt;=35, "18-35", E497&lt;=50, "36-50", E497&lt;=65, "51-65", TRUE, "Over 65")</f>
        <v>18-35</v>
      </c>
      <c r="G497" t="s">
        <v>14</v>
      </c>
      <c r="H497">
        <v>2</v>
      </c>
      <c r="I497" s="2">
        <v>300</v>
      </c>
      <c r="J497" s="2">
        <v>600</v>
      </c>
    </row>
    <row r="498" spans="1:10" x14ac:dyDescent="0.35">
      <c r="A498">
        <v>497</v>
      </c>
      <c r="B498" s="1">
        <v>45201</v>
      </c>
      <c r="C498" t="s">
        <v>510</v>
      </c>
      <c r="D498" t="s">
        <v>10</v>
      </c>
      <c r="E498">
        <v>41</v>
      </c>
      <c r="F498" t="str" cm="1">
        <f t="array" ref="F498">_xlfn.IFS(E498&lt;=35, "18-35", E498&lt;=50, "36-50", E498&lt;=65, "51-65", TRUE, "Over 65")</f>
        <v>36-50</v>
      </c>
      <c r="G498" t="s">
        <v>14</v>
      </c>
      <c r="H498">
        <v>4</v>
      </c>
      <c r="I498" s="2">
        <v>30</v>
      </c>
      <c r="J498" s="2">
        <v>120</v>
      </c>
    </row>
    <row r="499" spans="1:10" x14ac:dyDescent="0.35">
      <c r="A499">
        <v>498</v>
      </c>
      <c r="B499" s="1">
        <v>45096</v>
      </c>
      <c r="C499" t="s">
        <v>511</v>
      </c>
      <c r="D499" t="s">
        <v>13</v>
      </c>
      <c r="E499">
        <v>50</v>
      </c>
      <c r="F499" t="str" cm="1">
        <f t="array" ref="F499">_xlfn.IFS(E499&lt;=35, "18-35", E499&lt;=50, "36-50", E499&lt;=65, "51-65", TRUE, "Over 65")</f>
        <v>36-50</v>
      </c>
      <c r="G499" t="s">
        <v>14</v>
      </c>
      <c r="H499">
        <v>4</v>
      </c>
      <c r="I499" s="2">
        <v>25</v>
      </c>
      <c r="J499" s="2">
        <v>100</v>
      </c>
    </row>
    <row r="500" spans="1:10" x14ac:dyDescent="0.35">
      <c r="A500">
        <v>499</v>
      </c>
      <c r="B500" s="1">
        <v>44941</v>
      </c>
      <c r="C500" t="s">
        <v>512</v>
      </c>
      <c r="D500" t="s">
        <v>10</v>
      </c>
      <c r="E500">
        <v>46</v>
      </c>
      <c r="F500" t="str" cm="1">
        <f t="array" ref="F500">_xlfn.IFS(E500&lt;=35, "18-35", E500&lt;=50, "36-50", E500&lt;=65, "51-65", TRUE, "Over 65")</f>
        <v>36-50</v>
      </c>
      <c r="G500" t="s">
        <v>11</v>
      </c>
      <c r="H500">
        <v>2</v>
      </c>
      <c r="I500" s="2">
        <v>30</v>
      </c>
      <c r="J500" s="2">
        <v>60</v>
      </c>
    </row>
    <row r="501" spans="1:10" x14ac:dyDescent="0.35">
      <c r="A501">
        <v>500</v>
      </c>
      <c r="B501" s="1">
        <v>44986</v>
      </c>
      <c r="C501" t="s">
        <v>513</v>
      </c>
      <c r="D501" t="s">
        <v>13</v>
      </c>
      <c r="E501">
        <v>60</v>
      </c>
      <c r="F501" t="str" cm="1">
        <f t="array" ref="F501">_xlfn.IFS(E501&lt;=35, "18-35", E501&lt;=50, "36-50", E501&lt;=65, "51-65", TRUE, "Over 65")</f>
        <v>51-65</v>
      </c>
      <c r="G501" t="s">
        <v>11</v>
      </c>
      <c r="H501">
        <v>4</v>
      </c>
      <c r="I501" s="2">
        <v>25</v>
      </c>
      <c r="J501" s="2">
        <v>100</v>
      </c>
    </row>
    <row r="502" spans="1:10" x14ac:dyDescent="0.35">
      <c r="A502">
        <v>501</v>
      </c>
      <c r="B502" s="1">
        <v>45060</v>
      </c>
      <c r="C502" t="s">
        <v>514</v>
      </c>
      <c r="D502" t="s">
        <v>10</v>
      </c>
      <c r="E502">
        <v>39</v>
      </c>
      <c r="F502" t="str" cm="1">
        <f t="array" ref="F502">_xlfn.IFS(E502&lt;=35, "18-35", E502&lt;=50, "36-50", E502&lt;=65, "51-65", TRUE, "Over 65")</f>
        <v>36-50</v>
      </c>
      <c r="G502" t="s">
        <v>16</v>
      </c>
      <c r="H502">
        <v>2</v>
      </c>
      <c r="I502" s="2">
        <v>30</v>
      </c>
      <c r="J502" s="2">
        <v>60</v>
      </c>
    </row>
    <row r="503" spans="1:10" x14ac:dyDescent="0.35">
      <c r="A503">
        <v>502</v>
      </c>
      <c r="B503" s="1">
        <v>45018</v>
      </c>
      <c r="C503" t="s">
        <v>515</v>
      </c>
      <c r="D503" t="s">
        <v>10</v>
      </c>
      <c r="E503">
        <v>43</v>
      </c>
      <c r="F503" t="str" cm="1">
        <f t="array" ref="F503">_xlfn.IFS(E503&lt;=35, "18-35", E503&lt;=50, "36-50", E503&lt;=65, "51-65", TRUE, "Over 65")</f>
        <v>36-50</v>
      </c>
      <c r="G503" t="s">
        <v>16</v>
      </c>
      <c r="H503">
        <v>3</v>
      </c>
      <c r="I503" s="2">
        <v>50</v>
      </c>
      <c r="J503" s="2">
        <v>150</v>
      </c>
    </row>
    <row r="504" spans="1:10" x14ac:dyDescent="0.35">
      <c r="A504">
        <v>503</v>
      </c>
      <c r="B504" s="1">
        <v>45224</v>
      </c>
      <c r="C504" t="s">
        <v>516</v>
      </c>
      <c r="D504" t="s">
        <v>10</v>
      </c>
      <c r="E504">
        <v>45</v>
      </c>
      <c r="F504" t="str" cm="1">
        <f t="array" ref="F504">_xlfn.IFS(E504&lt;=35, "18-35", E504&lt;=50, "36-50", E504&lt;=65, "51-65", TRUE, "Over 65")</f>
        <v>36-50</v>
      </c>
      <c r="G504" t="s">
        <v>11</v>
      </c>
      <c r="H504">
        <v>4</v>
      </c>
      <c r="I504" s="2">
        <v>500</v>
      </c>
      <c r="J504" s="2">
        <v>2000</v>
      </c>
    </row>
    <row r="505" spans="1:10" x14ac:dyDescent="0.35">
      <c r="A505">
        <v>504</v>
      </c>
      <c r="B505" s="1">
        <v>45062</v>
      </c>
      <c r="C505" t="s">
        <v>517</v>
      </c>
      <c r="D505" t="s">
        <v>13</v>
      </c>
      <c r="E505">
        <v>38</v>
      </c>
      <c r="F505" t="str" cm="1">
        <f t="array" ref="F505">_xlfn.IFS(E505&lt;=35, "18-35", E505&lt;=50, "36-50", E505&lt;=65, "51-65", TRUE, "Over 65")</f>
        <v>36-50</v>
      </c>
      <c r="G505" t="s">
        <v>11</v>
      </c>
      <c r="H505">
        <v>3</v>
      </c>
      <c r="I505" s="2">
        <v>50</v>
      </c>
      <c r="J505" s="2">
        <v>150</v>
      </c>
    </row>
    <row r="506" spans="1:10" x14ac:dyDescent="0.35">
      <c r="A506">
        <v>505</v>
      </c>
      <c r="B506" s="1">
        <v>44946</v>
      </c>
      <c r="C506" t="s">
        <v>518</v>
      </c>
      <c r="D506" t="s">
        <v>10</v>
      </c>
      <c r="E506">
        <v>24</v>
      </c>
      <c r="F506" t="str" cm="1">
        <f t="array" ref="F506">_xlfn.IFS(E506&lt;=35, "18-35", E506&lt;=50, "36-50", E506&lt;=65, "51-65", TRUE, "Over 65")</f>
        <v>18-35</v>
      </c>
      <c r="G506" t="s">
        <v>11</v>
      </c>
      <c r="H506">
        <v>1</v>
      </c>
      <c r="I506" s="2">
        <v>50</v>
      </c>
      <c r="J506" s="2">
        <v>50</v>
      </c>
    </row>
    <row r="507" spans="1:10" x14ac:dyDescent="0.35">
      <c r="A507">
        <v>506</v>
      </c>
      <c r="B507" s="1">
        <v>44982</v>
      </c>
      <c r="C507" t="s">
        <v>519</v>
      </c>
      <c r="D507" t="s">
        <v>10</v>
      </c>
      <c r="E507">
        <v>34</v>
      </c>
      <c r="F507" t="str" cm="1">
        <f t="array" ref="F507">_xlfn.IFS(E507&lt;=35, "18-35", E507&lt;=50, "36-50", E507&lt;=65, "51-65", TRUE, "Over 65")</f>
        <v>18-35</v>
      </c>
      <c r="G507" t="s">
        <v>11</v>
      </c>
      <c r="H507">
        <v>3</v>
      </c>
      <c r="I507" s="2">
        <v>500</v>
      </c>
      <c r="J507" s="2">
        <v>1500</v>
      </c>
    </row>
    <row r="508" spans="1:10" x14ac:dyDescent="0.35">
      <c r="A508">
        <v>507</v>
      </c>
      <c r="B508" s="1">
        <v>45232</v>
      </c>
      <c r="C508" t="s">
        <v>520</v>
      </c>
      <c r="D508" t="s">
        <v>13</v>
      </c>
      <c r="E508">
        <v>37</v>
      </c>
      <c r="F508" t="str" cm="1">
        <f t="array" ref="F508">_xlfn.IFS(E508&lt;=35, "18-35", E508&lt;=50, "36-50", E508&lt;=65, "51-65", TRUE, "Over 65")</f>
        <v>36-50</v>
      </c>
      <c r="G508" t="s">
        <v>16</v>
      </c>
      <c r="H508">
        <v>3</v>
      </c>
      <c r="I508" s="2">
        <v>500</v>
      </c>
      <c r="J508" s="2">
        <v>1500</v>
      </c>
    </row>
    <row r="509" spans="1:10" x14ac:dyDescent="0.35">
      <c r="A509">
        <v>508</v>
      </c>
      <c r="B509" s="1">
        <v>45149</v>
      </c>
      <c r="C509" t="s">
        <v>521</v>
      </c>
      <c r="D509" t="s">
        <v>10</v>
      </c>
      <c r="E509">
        <v>58</v>
      </c>
      <c r="F509" t="str" cm="1">
        <f t="array" ref="F509">_xlfn.IFS(E509&lt;=35, "18-35", E509&lt;=50, "36-50", E509&lt;=65, "51-65", TRUE, "Over 65")</f>
        <v>51-65</v>
      </c>
      <c r="G509" t="s">
        <v>11</v>
      </c>
      <c r="H509">
        <v>2</v>
      </c>
      <c r="I509" s="2">
        <v>300</v>
      </c>
      <c r="J509" s="2">
        <v>600</v>
      </c>
    </row>
    <row r="510" spans="1:10" x14ac:dyDescent="0.35">
      <c r="A510">
        <v>509</v>
      </c>
      <c r="B510" s="1">
        <v>45103</v>
      </c>
      <c r="C510" t="s">
        <v>522</v>
      </c>
      <c r="D510" t="s">
        <v>13</v>
      </c>
      <c r="E510">
        <v>37</v>
      </c>
      <c r="F510" t="str" cm="1">
        <f t="array" ref="F510">_xlfn.IFS(E510&lt;=35, "18-35", E510&lt;=50, "36-50", E510&lt;=65, "51-65", TRUE, "Over 65")</f>
        <v>36-50</v>
      </c>
      <c r="G510" t="s">
        <v>16</v>
      </c>
      <c r="H510">
        <v>3</v>
      </c>
      <c r="I510" s="2">
        <v>300</v>
      </c>
      <c r="J510" s="2">
        <v>900</v>
      </c>
    </row>
    <row r="511" spans="1:10" x14ac:dyDescent="0.35">
      <c r="A511">
        <v>510</v>
      </c>
      <c r="B511" s="1">
        <v>45087</v>
      </c>
      <c r="C511" t="s">
        <v>523</v>
      </c>
      <c r="D511" t="s">
        <v>13</v>
      </c>
      <c r="E511">
        <v>39</v>
      </c>
      <c r="F511" t="str" cm="1">
        <f t="array" ref="F511">_xlfn.IFS(E511&lt;=35, "18-35", E511&lt;=50, "36-50", E511&lt;=65, "51-65", TRUE, "Over 65")</f>
        <v>36-50</v>
      </c>
      <c r="G511" t="s">
        <v>11</v>
      </c>
      <c r="H511">
        <v>4</v>
      </c>
      <c r="I511" s="2">
        <v>50</v>
      </c>
      <c r="J511" s="2">
        <v>200</v>
      </c>
    </row>
    <row r="512" spans="1:10" x14ac:dyDescent="0.35">
      <c r="A512">
        <v>511</v>
      </c>
      <c r="B512" s="1">
        <v>45150</v>
      </c>
      <c r="C512" t="s">
        <v>524</v>
      </c>
      <c r="D512" t="s">
        <v>10</v>
      </c>
      <c r="E512">
        <v>45</v>
      </c>
      <c r="F512" t="str" cm="1">
        <f t="array" ref="F512">_xlfn.IFS(E512&lt;=35, "18-35", E512&lt;=50, "36-50", E512&lt;=65, "51-65", TRUE, "Over 65")</f>
        <v>36-50</v>
      </c>
      <c r="G512" t="s">
        <v>11</v>
      </c>
      <c r="H512">
        <v>2</v>
      </c>
      <c r="I512" s="2">
        <v>50</v>
      </c>
      <c r="J512" s="2">
        <v>100</v>
      </c>
    </row>
    <row r="513" spans="1:10" x14ac:dyDescent="0.35">
      <c r="A513">
        <v>512</v>
      </c>
      <c r="B513" s="1">
        <v>45237</v>
      </c>
      <c r="C513" t="s">
        <v>525</v>
      </c>
      <c r="D513" t="s">
        <v>13</v>
      </c>
      <c r="E513">
        <v>57</v>
      </c>
      <c r="F513" t="str" cm="1">
        <f t="array" ref="F513">_xlfn.IFS(E513&lt;=35, "18-35", E513&lt;=50, "36-50", E513&lt;=65, "51-65", TRUE, "Over 65")</f>
        <v>51-65</v>
      </c>
      <c r="G513" t="s">
        <v>11</v>
      </c>
      <c r="H513">
        <v>1</v>
      </c>
      <c r="I513" s="2">
        <v>25</v>
      </c>
      <c r="J513" s="2">
        <v>25</v>
      </c>
    </row>
    <row r="514" spans="1:10" x14ac:dyDescent="0.35">
      <c r="A514">
        <v>513</v>
      </c>
      <c r="B514" s="1">
        <v>45188</v>
      </c>
      <c r="C514" t="s">
        <v>526</v>
      </c>
      <c r="D514" t="s">
        <v>10</v>
      </c>
      <c r="E514">
        <v>24</v>
      </c>
      <c r="F514" t="str" cm="1">
        <f t="array" ref="F514">_xlfn.IFS(E514&lt;=35, "18-35", E514&lt;=50, "36-50", E514&lt;=65, "51-65", TRUE, "Over 65")</f>
        <v>18-35</v>
      </c>
      <c r="G514" t="s">
        <v>16</v>
      </c>
      <c r="H514">
        <v>4</v>
      </c>
      <c r="I514" s="2">
        <v>25</v>
      </c>
      <c r="J514" s="2">
        <v>100</v>
      </c>
    </row>
    <row r="515" spans="1:10" x14ac:dyDescent="0.35">
      <c r="A515">
        <v>514</v>
      </c>
      <c r="B515" s="1">
        <v>44986</v>
      </c>
      <c r="C515" t="s">
        <v>527</v>
      </c>
      <c r="D515" t="s">
        <v>13</v>
      </c>
      <c r="E515">
        <v>18</v>
      </c>
      <c r="F515" t="str" cm="1">
        <f t="array" ref="F515">_xlfn.IFS(E515&lt;=35, "18-35", E515&lt;=50, "36-50", E515&lt;=65, "51-65", TRUE, "Over 65")</f>
        <v>18-35</v>
      </c>
      <c r="G515" t="s">
        <v>16</v>
      </c>
      <c r="H515">
        <v>1</v>
      </c>
      <c r="I515" s="2">
        <v>300</v>
      </c>
      <c r="J515" s="2">
        <v>300</v>
      </c>
    </row>
    <row r="516" spans="1:10" x14ac:dyDescent="0.35">
      <c r="A516">
        <v>515</v>
      </c>
      <c r="B516" s="1">
        <v>45124</v>
      </c>
      <c r="C516" t="s">
        <v>528</v>
      </c>
      <c r="D516" t="s">
        <v>13</v>
      </c>
      <c r="E516">
        <v>49</v>
      </c>
      <c r="F516" t="str" cm="1">
        <f t="array" ref="F516">_xlfn.IFS(E516&lt;=35, "18-35", E516&lt;=50, "36-50", E516&lt;=65, "51-65", TRUE, "Over 65")</f>
        <v>36-50</v>
      </c>
      <c r="G516" t="s">
        <v>14</v>
      </c>
      <c r="H516">
        <v>3</v>
      </c>
      <c r="I516" s="2">
        <v>300</v>
      </c>
      <c r="J516" s="2">
        <v>900</v>
      </c>
    </row>
    <row r="517" spans="1:10" x14ac:dyDescent="0.35">
      <c r="A517">
        <v>516</v>
      </c>
      <c r="B517" s="1">
        <v>45222</v>
      </c>
      <c r="C517" t="s">
        <v>529</v>
      </c>
      <c r="D517" t="s">
        <v>10</v>
      </c>
      <c r="E517">
        <v>30</v>
      </c>
      <c r="F517" t="str" cm="1">
        <f t="array" ref="F517">_xlfn.IFS(E517&lt;=35, "18-35", E517&lt;=50, "36-50", E517&lt;=65, "51-65", TRUE, "Over 65")</f>
        <v>18-35</v>
      </c>
      <c r="G517" t="s">
        <v>11</v>
      </c>
      <c r="H517">
        <v>4</v>
      </c>
      <c r="I517" s="2">
        <v>25</v>
      </c>
      <c r="J517" s="2">
        <v>100</v>
      </c>
    </row>
    <row r="518" spans="1:10" x14ac:dyDescent="0.35">
      <c r="A518">
        <v>517</v>
      </c>
      <c r="B518" s="1">
        <v>45024</v>
      </c>
      <c r="C518" t="s">
        <v>530</v>
      </c>
      <c r="D518" t="s">
        <v>13</v>
      </c>
      <c r="E518">
        <v>47</v>
      </c>
      <c r="F518" t="str" cm="1">
        <f t="array" ref="F518">_xlfn.IFS(E518&lt;=35, "18-35", E518&lt;=50, "36-50", E518&lt;=65, "51-65", TRUE, "Over 65")</f>
        <v>36-50</v>
      </c>
      <c r="G518" t="s">
        <v>14</v>
      </c>
      <c r="H518">
        <v>4</v>
      </c>
      <c r="I518" s="2">
        <v>25</v>
      </c>
      <c r="J518" s="2">
        <v>100</v>
      </c>
    </row>
    <row r="519" spans="1:10" x14ac:dyDescent="0.35">
      <c r="A519">
        <v>518</v>
      </c>
      <c r="B519" s="1">
        <v>45057</v>
      </c>
      <c r="C519" t="s">
        <v>531</v>
      </c>
      <c r="D519" t="s">
        <v>13</v>
      </c>
      <c r="E519">
        <v>40</v>
      </c>
      <c r="F519" t="str" cm="1">
        <f t="array" ref="F519">_xlfn.IFS(E519&lt;=35, "18-35", E519&lt;=50, "36-50", E519&lt;=65, "51-65", TRUE, "Over 65")</f>
        <v>36-50</v>
      </c>
      <c r="G519" t="s">
        <v>14</v>
      </c>
      <c r="H519">
        <v>1</v>
      </c>
      <c r="I519" s="2">
        <v>30</v>
      </c>
      <c r="J519" s="2">
        <v>30</v>
      </c>
    </row>
    <row r="520" spans="1:10" x14ac:dyDescent="0.35">
      <c r="A520">
        <v>519</v>
      </c>
      <c r="B520" s="1">
        <v>44949</v>
      </c>
      <c r="C520" t="s">
        <v>532</v>
      </c>
      <c r="D520" t="s">
        <v>13</v>
      </c>
      <c r="E520">
        <v>36</v>
      </c>
      <c r="F520" t="str" cm="1">
        <f t="array" ref="F520">_xlfn.IFS(E520&lt;=35, "18-35", E520&lt;=50, "36-50", E520&lt;=65, "51-65", TRUE, "Over 65")</f>
        <v>36-50</v>
      </c>
      <c r="G520" t="s">
        <v>16</v>
      </c>
      <c r="H520">
        <v>4</v>
      </c>
      <c r="I520" s="2">
        <v>30</v>
      </c>
      <c r="J520" s="2">
        <v>120</v>
      </c>
    </row>
    <row r="521" spans="1:10" x14ac:dyDescent="0.35">
      <c r="A521">
        <v>520</v>
      </c>
      <c r="B521" s="1">
        <v>45289</v>
      </c>
      <c r="C521" t="s">
        <v>533</v>
      </c>
      <c r="D521" t="s">
        <v>13</v>
      </c>
      <c r="E521">
        <v>49</v>
      </c>
      <c r="F521" t="str" cm="1">
        <f t="array" ref="F521">_xlfn.IFS(E521&lt;=35, "18-35", E521&lt;=50, "36-50", E521&lt;=65, "51-65", TRUE, "Over 65")</f>
        <v>36-50</v>
      </c>
      <c r="G521" t="s">
        <v>16</v>
      </c>
      <c r="H521">
        <v>4</v>
      </c>
      <c r="I521" s="2">
        <v>25</v>
      </c>
      <c r="J521" s="2">
        <v>100</v>
      </c>
    </row>
    <row r="522" spans="1:10" x14ac:dyDescent="0.35">
      <c r="A522">
        <v>521</v>
      </c>
      <c r="B522" s="1">
        <v>45150</v>
      </c>
      <c r="C522" t="s">
        <v>534</v>
      </c>
      <c r="D522" t="s">
        <v>13</v>
      </c>
      <c r="E522">
        <v>47</v>
      </c>
      <c r="F522" t="str" cm="1">
        <f t="array" ref="F522">_xlfn.IFS(E522&lt;=35, "18-35", E522&lt;=50, "36-50", E522&lt;=65, "51-65", TRUE, "Over 65")</f>
        <v>36-50</v>
      </c>
      <c r="G522" t="s">
        <v>14</v>
      </c>
      <c r="H522">
        <v>4</v>
      </c>
      <c r="I522" s="2">
        <v>30</v>
      </c>
      <c r="J522" s="2">
        <v>120</v>
      </c>
    </row>
    <row r="523" spans="1:10" x14ac:dyDescent="0.35">
      <c r="A523">
        <v>522</v>
      </c>
      <c r="B523" s="1">
        <v>44927</v>
      </c>
      <c r="C523" t="s">
        <v>535</v>
      </c>
      <c r="D523" t="s">
        <v>10</v>
      </c>
      <c r="E523">
        <v>46</v>
      </c>
      <c r="F523" t="str" cm="1">
        <f t="array" ref="F523">_xlfn.IFS(E523&lt;=35, "18-35", E523&lt;=50, "36-50", E523&lt;=65, "51-65", TRUE, "Over 65")</f>
        <v>36-50</v>
      </c>
      <c r="G523" t="s">
        <v>11</v>
      </c>
      <c r="H523">
        <v>3</v>
      </c>
      <c r="I523" s="2">
        <v>500</v>
      </c>
      <c r="J523" s="2">
        <v>1500</v>
      </c>
    </row>
    <row r="524" spans="1:10" x14ac:dyDescent="0.35">
      <c r="A524">
        <v>523</v>
      </c>
      <c r="B524" s="1">
        <v>45193</v>
      </c>
      <c r="C524" t="s">
        <v>536</v>
      </c>
      <c r="D524" t="s">
        <v>13</v>
      </c>
      <c r="E524">
        <v>62</v>
      </c>
      <c r="F524" t="str" cm="1">
        <f t="array" ref="F524">_xlfn.IFS(E524&lt;=35, "18-35", E524&lt;=50, "36-50", E524&lt;=65, "51-65", TRUE, "Over 65")</f>
        <v>51-65</v>
      </c>
      <c r="G524" t="s">
        <v>16</v>
      </c>
      <c r="H524">
        <v>1</v>
      </c>
      <c r="I524" s="2">
        <v>300</v>
      </c>
      <c r="J524" s="2">
        <v>300</v>
      </c>
    </row>
    <row r="525" spans="1:10" x14ac:dyDescent="0.35">
      <c r="A525">
        <v>524</v>
      </c>
      <c r="B525" s="1">
        <v>45202</v>
      </c>
      <c r="C525" t="s">
        <v>537</v>
      </c>
      <c r="D525" t="s">
        <v>10</v>
      </c>
      <c r="E525">
        <v>46</v>
      </c>
      <c r="F525" t="str" cm="1">
        <f t="array" ref="F525">_xlfn.IFS(E525&lt;=35, "18-35", E525&lt;=50, "36-50", E525&lt;=65, "51-65", TRUE, "Over 65")</f>
        <v>36-50</v>
      </c>
      <c r="G525" t="s">
        <v>11</v>
      </c>
      <c r="H525">
        <v>4</v>
      </c>
      <c r="I525" s="2">
        <v>300</v>
      </c>
      <c r="J525" s="2">
        <v>1200</v>
      </c>
    </row>
    <row r="526" spans="1:10" x14ac:dyDescent="0.35">
      <c r="A526">
        <v>525</v>
      </c>
      <c r="B526" s="1">
        <v>45278</v>
      </c>
      <c r="C526" t="s">
        <v>538</v>
      </c>
      <c r="D526" t="s">
        <v>13</v>
      </c>
      <c r="E526">
        <v>47</v>
      </c>
      <c r="F526" t="str" cm="1">
        <f t="array" ref="F526">_xlfn.IFS(E526&lt;=35, "18-35", E526&lt;=50, "36-50", E526&lt;=65, "51-65", TRUE, "Over 65")</f>
        <v>36-50</v>
      </c>
      <c r="G526" t="s">
        <v>11</v>
      </c>
      <c r="H526">
        <v>2</v>
      </c>
      <c r="I526" s="2">
        <v>25</v>
      </c>
      <c r="J526" s="2">
        <v>50</v>
      </c>
    </row>
    <row r="527" spans="1:10" x14ac:dyDescent="0.35">
      <c r="A527">
        <v>526</v>
      </c>
      <c r="B527" s="1">
        <v>45270</v>
      </c>
      <c r="C527" t="s">
        <v>539</v>
      </c>
      <c r="D527" t="s">
        <v>10</v>
      </c>
      <c r="E527">
        <v>33</v>
      </c>
      <c r="F527" t="str" cm="1">
        <f t="array" ref="F527">_xlfn.IFS(E527&lt;=35, "18-35", E527&lt;=50, "36-50", E527&lt;=65, "51-65", TRUE, "Over 65")</f>
        <v>18-35</v>
      </c>
      <c r="G527" t="s">
        <v>14</v>
      </c>
      <c r="H527">
        <v>2</v>
      </c>
      <c r="I527" s="2">
        <v>50</v>
      </c>
      <c r="J527" s="2">
        <v>100</v>
      </c>
    </row>
    <row r="528" spans="1:10" x14ac:dyDescent="0.35">
      <c r="A528">
        <v>527</v>
      </c>
      <c r="B528" s="1">
        <v>45027</v>
      </c>
      <c r="C528" t="s">
        <v>540</v>
      </c>
      <c r="D528" t="s">
        <v>10</v>
      </c>
      <c r="E528">
        <v>57</v>
      </c>
      <c r="F528" t="str" cm="1">
        <f t="array" ref="F528">_xlfn.IFS(E528&lt;=35, "18-35", E528&lt;=50, "36-50", E528&lt;=65, "51-65", TRUE, "Over 65")</f>
        <v>51-65</v>
      </c>
      <c r="G528" t="s">
        <v>14</v>
      </c>
      <c r="H528">
        <v>2</v>
      </c>
      <c r="I528" s="2">
        <v>25</v>
      </c>
      <c r="J528" s="2">
        <v>50</v>
      </c>
    </row>
    <row r="529" spans="1:10" x14ac:dyDescent="0.35">
      <c r="A529">
        <v>528</v>
      </c>
      <c r="B529" s="1">
        <v>45113</v>
      </c>
      <c r="C529" t="s">
        <v>541</v>
      </c>
      <c r="D529" t="s">
        <v>13</v>
      </c>
      <c r="E529">
        <v>36</v>
      </c>
      <c r="F529" t="str" cm="1">
        <f t="array" ref="F529">_xlfn.IFS(E529&lt;=35, "18-35", E529&lt;=50, "36-50", E529&lt;=65, "51-65", TRUE, "Over 65")</f>
        <v>36-50</v>
      </c>
      <c r="G529" t="s">
        <v>14</v>
      </c>
      <c r="H529">
        <v>2</v>
      </c>
      <c r="I529" s="2">
        <v>30</v>
      </c>
      <c r="J529" s="2">
        <v>60</v>
      </c>
    </row>
    <row r="530" spans="1:10" x14ac:dyDescent="0.35">
      <c r="A530">
        <v>529</v>
      </c>
      <c r="B530" s="1">
        <v>45147</v>
      </c>
      <c r="C530" t="s">
        <v>542</v>
      </c>
      <c r="D530" t="s">
        <v>13</v>
      </c>
      <c r="E530">
        <v>35</v>
      </c>
      <c r="F530" t="str" cm="1">
        <f t="array" ref="F530">_xlfn.IFS(E530&lt;=35, "18-35", E530&lt;=50, "36-50", E530&lt;=65, "51-65", TRUE, "Over 65")</f>
        <v>18-35</v>
      </c>
      <c r="G530" t="s">
        <v>14</v>
      </c>
      <c r="H530">
        <v>3</v>
      </c>
      <c r="I530" s="2">
        <v>50</v>
      </c>
      <c r="J530" s="2">
        <v>150</v>
      </c>
    </row>
    <row r="531" spans="1:10" x14ac:dyDescent="0.35">
      <c r="A531">
        <v>530</v>
      </c>
      <c r="B531" s="1">
        <v>44962</v>
      </c>
      <c r="C531" t="s">
        <v>543</v>
      </c>
      <c r="D531" t="s">
        <v>13</v>
      </c>
      <c r="E531">
        <v>18</v>
      </c>
      <c r="F531" t="str" cm="1">
        <f t="array" ref="F531">_xlfn.IFS(E531&lt;=35, "18-35", E531&lt;=50, "36-50", E531&lt;=65, "51-65", TRUE, "Over 65")</f>
        <v>18-35</v>
      </c>
      <c r="G531" t="s">
        <v>16</v>
      </c>
      <c r="H531">
        <v>4</v>
      </c>
      <c r="I531" s="2">
        <v>30</v>
      </c>
      <c r="J531" s="2">
        <v>120</v>
      </c>
    </row>
    <row r="532" spans="1:10" x14ac:dyDescent="0.35">
      <c r="A532">
        <v>531</v>
      </c>
      <c r="B532" s="1">
        <v>45267</v>
      </c>
      <c r="C532" t="s">
        <v>544</v>
      </c>
      <c r="D532" t="s">
        <v>10</v>
      </c>
      <c r="E532">
        <v>31</v>
      </c>
      <c r="F532" t="str" cm="1">
        <f t="array" ref="F532">_xlfn.IFS(E532&lt;=35, "18-35", E532&lt;=50, "36-50", E532&lt;=65, "51-65", TRUE, "Over 65")</f>
        <v>18-35</v>
      </c>
      <c r="G532" t="s">
        <v>16</v>
      </c>
      <c r="H532">
        <v>1</v>
      </c>
      <c r="I532" s="2">
        <v>500</v>
      </c>
      <c r="J532" s="2">
        <v>500</v>
      </c>
    </row>
    <row r="533" spans="1:10" x14ac:dyDescent="0.35">
      <c r="A533">
        <v>532</v>
      </c>
      <c r="B533" s="1">
        <v>45096</v>
      </c>
      <c r="C533" t="s">
        <v>545</v>
      </c>
      <c r="D533" t="s">
        <v>13</v>
      </c>
      <c r="E533">
        <v>64</v>
      </c>
      <c r="F533" t="str" cm="1">
        <f t="array" ref="F533">_xlfn.IFS(E533&lt;=35, "18-35", E533&lt;=50, "36-50", E533&lt;=65, "51-65", TRUE, "Over 65")</f>
        <v>51-65</v>
      </c>
      <c r="G533" t="s">
        <v>14</v>
      </c>
      <c r="H533">
        <v>4</v>
      </c>
      <c r="I533" s="2">
        <v>30</v>
      </c>
      <c r="J533" s="2">
        <v>120</v>
      </c>
    </row>
    <row r="534" spans="1:10" x14ac:dyDescent="0.35">
      <c r="A534">
        <v>533</v>
      </c>
      <c r="B534" s="1">
        <v>45246</v>
      </c>
      <c r="C534" t="s">
        <v>546</v>
      </c>
      <c r="D534" t="s">
        <v>10</v>
      </c>
      <c r="E534">
        <v>19</v>
      </c>
      <c r="F534" t="str" cm="1">
        <f t="array" ref="F534">_xlfn.IFS(E534&lt;=35, "18-35", E534&lt;=50, "36-50", E534&lt;=65, "51-65", TRUE, "Over 65")</f>
        <v>18-35</v>
      </c>
      <c r="G534" t="s">
        <v>16</v>
      </c>
      <c r="H534">
        <v>3</v>
      </c>
      <c r="I534" s="2">
        <v>500</v>
      </c>
      <c r="J534" s="2">
        <v>1500</v>
      </c>
    </row>
    <row r="535" spans="1:10" x14ac:dyDescent="0.35">
      <c r="A535">
        <v>534</v>
      </c>
      <c r="B535" s="1">
        <v>45087</v>
      </c>
      <c r="C535" t="s">
        <v>547</v>
      </c>
      <c r="D535" t="s">
        <v>10</v>
      </c>
      <c r="E535">
        <v>45</v>
      </c>
      <c r="F535" t="str" cm="1">
        <f t="array" ref="F535">_xlfn.IFS(E535&lt;=35, "18-35", E535&lt;=50, "36-50", E535&lt;=65, "51-65", TRUE, "Over 65")</f>
        <v>36-50</v>
      </c>
      <c r="G535" t="s">
        <v>14</v>
      </c>
      <c r="H535">
        <v>2</v>
      </c>
      <c r="I535" s="2">
        <v>500</v>
      </c>
      <c r="J535" s="2">
        <v>1000</v>
      </c>
    </row>
    <row r="536" spans="1:10" x14ac:dyDescent="0.35">
      <c r="A536">
        <v>535</v>
      </c>
      <c r="B536" s="1">
        <v>45266</v>
      </c>
      <c r="C536" t="s">
        <v>548</v>
      </c>
      <c r="D536" t="s">
        <v>10</v>
      </c>
      <c r="E536">
        <v>47</v>
      </c>
      <c r="F536" t="str" cm="1">
        <f t="array" ref="F536">_xlfn.IFS(E536&lt;=35, "18-35", E536&lt;=50, "36-50", E536&lt;=65, "51-65", TRUE, "Over 65")</f>
        <v>36-50</v>
      </c>
      <c r="G536" t="s">
        <v>11</v>
      </c>
      <c r="H536">
        <v>3</v>
      </c>
      <c r="I536" s="2">
        <v>30</v>
      </c>
      <c r="J536" s="2">
        <v>90</v>
      </c>
    </row>
    <row r="537" spans="1:10" x14ac:dyDescent="0.35">
      <c r="A537">
        <v>536</v>
      </c>
      <c r="B537" s="1">
        <v>44990</v>
      </c>
      <c r="C537" t="s">
        <v>549</v>
      </c>
      <c r="D537" t="s">
        <v>13</v>
      </c>
      <c r="E537">
        <v>55</v>
      </c>
      <c r="F537" t="str" cm="1">
        <f t="array" ref="F537">_xlfn.IFS(E537&lt;=35, "18-35", E537&lt;=50, "36-50", E537&lt;=65, "51-65", TRUE, "Over 65")</f>
        <v>51-65</v>
      </c>
      <c r="G537" t="s">
        <v>11</v>
      </c>
      <c r="H537">
        <v>4</v>
      </c>
      <c r="I537" s="2">
        <v>30</v>
      </c>
      <c r="J537" s="2">
        <v>120</v>
      </c>
    </row>
    <row r="538" spans="1:10" x14ac:dyDescent="0.35">
      <c r="A538">
        <v>537</v>
      </c>
      <c r="B538" s="1">
        <v>45080</v>
      </c>
      <c r="C538" t="s">
        <v>550</v>
      </c>
      <c r="D538" t="s">
        <v>13</v>
      </c>
      <c r="E538">
        <v>21</v>
      </c>
      <c r="F538" t="str" cm="1">
        <f t="array" ref="F538">_xlfn.IFS(E538&lt;=35, "18-35", E538&lt;=50, "36-50", E538&lt;=65, "51-65", TRUE, "Over 65")</f>
        <v>18-35</v>
      </c>
      <c r="G538" t="s">
        <v>11</v>
      </c>
      <c r="H538">
        <v>1</v>
      </c>
      <c r="I538" s="2">
        <v>500</v>
      </c>
      <c r="J538" s="2">
        <v>500</v>
      </c>
    </row>
    <row r="539" spans="1:10" x14ac:dyDescent="0.35">
      <c r="A539">
        <v>538</v>
      </c>
      <c r="B539" s="1">
        <v>45186</v>
      </c>
      <c r="C539" t="s">
        <v>551</v>
      </c>
      <c r="D539" t="s">
        <v>10</v>
      </c>
      <c r="E539">
        <v>18</v>
      </c>
      <c r="F539" t="str" cm="1">
        <f t="array" ref="F539">_xlfn.IFS(E539&lt;=35, "18-35", E539&lt;=50, "36-50", E539&lt;=65, "51-65", TRUE, "Over 65")</f>
        <v>18-35</v>
      </c>
      <c r="G539" t="s">
        <v>14</v>
      </c>
      <c r="H539">
        <v>3</v>
      </c>
      <c r="I539" s="2">
        <v>50</v>
      </c>
      <c r="J539" s="2">
        <v>150</v>
      </c>
    </row>
    <row r="540" spans="1:10" x14ac:dyDescent="0.35">
      <c r="A540">
        <v>539</v>
      </c>
      <c r="B540" s="1">
        <v>45085</v>
      </c>
      <c r="C540" t="s">
        <v>552</v>
      </c>
      <c r="D540" t="s">
        <v>10</v>
      </c>
      <c r="E540">
        <v>25</v>
      </c>
      <c r="F540" t="str" cm="1">
        <f t="array" ref="F540">_xlfn.IFS(E540&lt;=35, "18-35", E540&lt;=50, "36-50", E540&lt;=65, "51-65", TRUE, "Over 65")</f>
        <v>18-35</v>
      </c>
      <c r="G540" t="s">
        <v>11</v>
      </c>
      <c r="H540">
        <v>1</v>
      </c>
      <c r="I540" s="2">
        <v>500</v>
      </c>
      <c r="J540" s="2">
        <v>500</v>
      </c>
    </row>
    <row r="541" spans="1:10" x14ac:dyDescent="0.35">
      <c r="A541">
        <v>540</v>
      </c>
      <c r="B541" s="1">
        <v>45268</v>
      </c>
      <c r="C541" t="s">
        <v>553</v>
      </c>
      <c r="D541" t="s">
        <v>13</v>
      </c>
      <c r="E541">
        <v>46</v>
      </c>
      <c r="F541" t="str" cm="1">
        <f t="array" ref="F541">_xlfn.IFS(E541&lt;=35, "18-35", E541&lt;=50, "36-50", E541&lt;=65, "51-65", TRUE, "Over 65")</f>
        <v>36-50</v>
      </c>
      <c r="G541" t="s">
        <v>16</v>
      </c>
      <c r="H541">
        <v>3</v>
      </c>
      <c r="I541" s="2">
        <v>300</v>
      </c>
      <c r="J541" s="2">
        <v>900</v>
      </c>
    </row>
    <row r="542" spans="1:10" x14ac:dyDescent="0.35">
      <c r="A542">
        <v>541</v>
      </c>
      <c r="B542" s="1">
        <v>45136</v>
      </c>
      <c r="C542" t="s">
        <v>554</v>
      </c>
      <c r="D542" t="s">
        <v>10</v>
      </c>
      <c r="E542">
        <v>56</v>
      </c>
      <c r="F542" t="str" cm="1">
        <f t="array" ref="F542">_xlfn.IFS(E542&lt;=35, "18-35", E542&lt;=50, "36-50", E542&lt;=65, "51-65", TRUE, "Over 65")</f>
        <v>51-65</v>
      </c>
      <c r="G542" t="s">
        <v>11</v>
      </c>
      <c r="H542">
        <v>1</v>
      </c>
      <c r="I542" s="2">
        <v>500</v>
      </c>
      <c r="J542" s="2">
        <v>500</v>
      </c>
    </row>
    <row r="543" spans="1:10" x14ac:dyDescent="0.35">
      <c r="A543">
        <v>542</v>
      </c>
      <c r="B543" s="1">
        <v>45094</v>
      </c>
      <c r="C543" t="s">
        <v>555</v>
      </c>
      <c r="D543" t="s">
        <v>13</v>
      </c>
      <c r="E543">
        <v>20</v>
      </c>
      <c r="F543" t="str" cm="1">
        <f t="array" ref="F543">_xlfn.IFS(E543&lt;=35, "18-35", E543&lt;=50, "36-50", E543&lt;=65, "51-65", TRUE, "Over 65")</f>
        <v>18-35</v>
      </c>
      <c r="G543" t="s">
        <v>11</v>
      </c>
      <c r="H543">
        <v>1</v>
      </c>
      <c r="I543" s="2">
        <v>50</v>
      </c>
      <c r="J543" s="2">
        <v>50</v>
      </c>
    </row>
    <row r="544" spans="1:10" x14ac:dyDescent="0.35">
      <c r="A544">
        <v>543</v>
      </c>
      <c r="B544" s="1">
        <v>45133</v>
      </c>
      <c r="C544" t="s">
        <v>556</v>
      </c>
      <c r="D544" t="s">
        <v>10</v>
      </c>
      <c r="E544">
        <v>49</v>
      </c>
      <c r="F544" t="str" cm="1">
        <f t="array" ref="F544">_xlfn.IFS(E544&lt;=35, "18-35", E544&lt;=50, "36-50", E544&lt;=65, "51-65", TRUE, "Over 65")</f>
        <v>36-50</v>
      </c>
      <c r="G544" t="s">
        <v>11</v>
      </c>
      <c r="H544">
        <v>2</v>
      </c>
      <c r="I544" s="2">
        <v>300</v>
      </c>
      <c r="J544" s="2">
        <v>600</v>
      </c>
    </row>
    <row r="545" spans="1:10" x14ac:dyDescent="0.35">
      <c r="A545">
        <v>544</v>
      </c>
      <c r="B545" s="1">
        <v>45283</v>
      </c>
      <c r="C545" t="s">
        <v>557</v>
      </c>
      <c r="D545" t="s">
        <v>13</v>
      </c>
      <c r="E545">
        <v>27</v>
      </c>
      <c r="F545" t="str" cm="1">
        <f t="array" ref="F545">_xlfn.IFS(E545&lt;=35, "18-35", E545&lt;=50, "36-50", E545&lt;=65, "51-65", TRUE, "Over 65")</f>
        <v>18-35</v>
      </c>
      <c r="G545" t="s">
        <v>16</v>
      </c>
      <c r="H545">
        <v>1</v>
      </c>
      <c r="I545" s="2">
        <v>25</v>
      </c>
      <c r="J545" s="2">
        <v>25</v>
      </c>
    </row>
    <row r="546" spans="1:10" x14ac:dyDescent="0.35">
      <c r="A546">
        <v>545</v>
      </c>
      <c r="B546" s="1">
        <v>45078</v>
      </c>
      <c r="C546" t="s">
        <v>558</v>
      </c>
      <c r="D546" t="s">
        <v>10</v>
      </c>
      <c r="E546">
        <v>27</v>
      </c>
      <c r="F546" t="str" cm="1">
        <f t="array" ref="F546">_xlfn.IFS(E546&lt;=35, "18-35", E546&lt;=50, "36-50", E546&lt;=65, "51-65", TRUE, "Over 65")</f>
        <v>18-35</v>
      </c>
      <c r="G546" t="s">
        <v>14</v>
      </c>
      <c r="H546">
        <v>2</v>
      </c>
      <c r="I546" s="2">
        <v>25</v>
      </c>
      <c r="J546" s="2">
        <v>50</v>
      </c>
    </row>
    <row r="547" spans="1:10" x14ac:dyDescent="0.35">
      <c r="A547">
        <v>546</v>
      </c>
      <c r="B547" s="1">
        <v>45210</v>
      </c>
      <c r="C547" t="s">
        <v>559</v>
      </c>
      <c r="D547" t="s">
        <v>13</v>
      </c>
      <c r="E547">
        <v>36</v>
      </c>
      <c r="F547" t="str" cm="1">
        <f t="array" ref="F547">_xlfn.IFS(E547&lt;=35, "18-35", E547&lt;=50, "36-50", E547&lt;=65, "51-65", TRUE, "Over 65")</f>
        <v>36-50</v>
      </c>
      <c r="G547" t="s">
        <v>16</v>
      </c>
      <c r="H547">
        <v>4</v>
      </c>
      <c r="I547" s="2">
        <v>50</v>
      </c>
      <c r="J547" s="2">
        <v>200</v>
      </c>
    </row>
    <row r="548" spans="1:10" x14ac:dyDescent="0.35">
      <c r="A548">
        <v>547</v>
      </c>
      <c r="B548" s="1">
        <v>44992</v>
      </c>
      <c r="C548" t="s">
        <v>560</v>
      </c>
      <c r="D548" t="s">
        <v>10</v>
      </c>
      <c r="E548">
        <v>63</v>
      </c>
      <c r="F548" t="str" cm="1">
        <f t="array" ref="F548">_xlfn.IFS(E548&lt;=35, "18-35", E548&lt;=50, "36-50", E548&lt;=65, "51-65", TRUE, "Over 65")</f>
        <v>51-65</v>
      </c>
      <c r="G548" t="s">
        <v>14</v>
      </c>
      <c r="H548">
        <v>4</v>
      </c>
      <c r="I548" s="2">
        <v>500</v>
      </c>
      <c r="J548" s="2">
        <v>2000</v>
      </c>
    </row>
    <row r="549" spans="1:10" x14ac:dyDescent="0.35">
      <c r="A549">
        <v>548</v>
      </c>
      <c r="B549" s="1">
        <v>45025</v>
      </c>
      <c r="C549" t="s">
        <v>561</v>
      </c>
      <c r="D549" t="s">
        <v>13</v>
      </c>
      <c r="E549">
        <v>51</v>
      </c>
      <c r="F549" t="str" cm="1">
        <f t="array" ref="F549">_xlfn.IFS(E549&lt;=35, "18-35", E549&lt;=50, "36-50", E549&lt;=65, "51-65", TRUE, "Over 65")</f>
        <v>51-65</v>
      </c>
      <c r="G549" t="s">
        <v>14</v>
      </c>
      <c r="H549">
        <v>2</v>
      </c>
      <c r="I549" s="2">
        <v>30</v>
      </c>
      <c r="J549" s="2">
        <v>60</v>
      </c>
    </row>
    <row r="550" spans="1:10" x14ac:dyDescent="0.35">
      <c r="A550">
        <v>549</v>
      </c>
      <c r="B550" s="1">
        <v>45142</v>
      </c>
      <c r="C550" t="s">
        <v>562</v>
      </c>
      <c r="D550" t="s">
        <v>13</v>
      </c>
      <c r="E550">
        <v>50</v>
      </c>
      <c r="F550" t="str" cm="1">
        <f t="array" ref="F550">_xlfn.IFS(E550&lt;=35, "18-35", E550&lt;=50, "36-50", E550&lt;=65, "51-65", TRUE, "Over 65")</f>
        <v>36-50</v>
      </c>
      <c r="G550" t="s">
        <v>11</v>
      </c>
      <c r="H550">
        <v>2</v>
      </c>
      <c r="I550" s="2">
        <v>50</v>
      </c>
      <c r="J550" s="2">
        <v>100</v>
      </c>
    </row>
    <row r="551" spans="1:10" x14ac:dyDescent="0.35">
      <c r="A551">
        <v>550</v>
      </c>
      <c r="B551" s="1">
        <v>45267</v>
      </c>
      <c r="C551" t="s">
        <v>563</v>
      </c>
      <c r="D551" t="s">
        <v>10</v>
      </c>
      <c r="E551">
        <v>40</v>
      </c>
      <c r="F551" t="str" cm="1">
        <f t="array" ref="F551">_xlfn.IFS(E551&lt;=35, "18-35", E551&lt;=50, "36-50", E551&lt;=65, "51-65", TRUE, "Over 65")</f>
        <v>36-50</v>
      </c>
      <c r="G551" t="s">
        <v>14</v>
      </c>
      <c r="H551">
        <v>3</v>
      </c>
      <c r="I551" s="2">
        <v>300</v>
      </c>
      <c r="J551" s="2">
        <v>900</v>
      </c>
    </row>
    <row r="552" spans="1:10" x14ac:dyDescent="0.35">
      <c r="A552">
        <v>551</v>
      </c>
      <c r="B552" s="1">
        <v>45121</v>
      </c>
      <c r="C552" t="s">
        <v>564</v>
      </c>
      <c r="D552" t="s">
        <v>10</v>
      </c>
      <c r="E552">
        <v>45</v>
      </c>
      <c r="F552" t="str" cm="1">
        <f t="array" ref="F552">_xlfn.IFS(E552&lt;=35, "18-35", E552&lt;=50, "36-50", E552&lt;=65, "51-65", TRUE, "Over 65")</f>
        <v>36-50</v>
      </c>
      <c r="G552" t="s">
        <v>16</v>
      </c>
      <c r="H552">
        <v>3</v>
      </c>
      <c r="I552" s="2">
        <v>300</v>
      </c>
      <c r="J552" s="2">
        <v>900</v>
      </c>
    </row>
    <row r="553" spans="1:10" x14ac:dyDescent="0.35">
      <c r="A553">
        <v>552</v>
      </c>
      <c r="B553" s="1">
        <v>45273</v>
      </c>
      <c r="C553" t="s">
        <v>565</v>
      </c>
      <c r="D553" t="s">
        <v>13</v>
      </c>
      <c r="E553">
        <v>49</v>
      </c>
      <c r="F553" t="str" cm="1">
        <f t="array" ref="F553">_xlfn.IFS(E553&lt;=35, "18-35", E553&lt;=50, "36-50", E553&lt;=65, "51-65", TRUE, "Over 65")</f>
        <v>36-50</v>
      </c>
      <c r="G553" t="s">
        <v>16</v>
      </c>
      <c r="H553">
        <v>3</v>
      </c>
      <c r="I553" s="2">
        <v>25</v>
      </c>
      <c r="J553" s="2">
        <v>75</v>
      </c>
    </row>
    <row r="554" spans="1:10" x14ac:dyDescent="0.35">
      <c r="A554">
        <v>553</v>
      </c>
      <c r="B554" s="1">
        <v>45016</v>
      </c>
      <c r="C554" t="s">
        <v>566</v>
      </c>
      <c r="D554" t="s">
        <v>10</v>
      </c>
      <c r="E554">
        <v>24</v>
      </c>
      <c r="F554" t="str" cm="1">
        <f t="array" ref="F554">_xlfn.IFS(E554&lt;=35, "18-35", E554&lt;=50, "36-50", E554&lt;=65, "51-65", TRUE, "Over 65")</f>
        <v>18-35</v>
      </c>
      <c r="G554" t="s">
        <v>14</v>
      </c>
      <c r="H554">
        <v>4</v>
      </c>
      <c r="I554" s="2">
        <v>300</v>
      </c>
      <c r="J554" s="2">
        <v>1200</v>
      </c>
    </row>
    <row r="555" spans="1:10" x14ac:dyDescent="0.35">
      <c r="A555">
        <v>554</v>
      </c>
      <c r="B555" s="1">
        <v>45242</v>
      </c>
      <c r="C555" t="s">
        <v>567</v>
      </c>
      <c r="D555" t="s">
        <v>13</v>
      </c>
      <c r="E555">
        <v>46</v>
      </c>
      <c r="F555" t="str" cm="1">
        <f t="array" ref="F555">_xlfn.IFS(E555&lt;=35, "18-35", E555&lt;=50, "36-50", E555&lt;=65, "51-65", TRUE, "Over 65")</f>
        <v>36-50</v>
      </c>
      <c r="G555" t="s">
        <v>11</v>
      </c>
      <c r="H555">
        <v>3</v>
      </c>
      <c r="I555" s="2">
        <v>50</v>
      </c>
      <c r="J555" s="2">
        <v>150</v>
      </c>
    </row>
    <row r="556" spans="1:10" x14ac:dyDescent="0.35">
      <c r="A556">
        <v>555</v>
      </c>
      <c r="B556" s="1">
        <v>45218</v>
      </c>
      <c r="C556" t="s">
        <v>568</v>
      </c>
      <c r="D556" t="s">
        <v>10</v>
      </c>
      <c r="E556">
        <v>25</v>
      </c>
      <c r="F556" t="str" cm="1">
        <f t="array" ref="F556">_xlfn.IFS(E556&lt;=35, "18-35", E556&lt;=50, "36-50", E556&lt;=65, "51-65", TRUE, "Over 65")</f>
        <v>18-35</v>
      </c>
      <c r="G556" t="s">
        <v>11</v>
      </c>
      <c r="H556">
        <v>1</v>
      </c>
      <c r="I556" s="2">
        <v>300</v>
      </c>
      <c r="J556" s="2">
        <v>300</v>
      </c>
    </row>
    <row r="557" spans="1:10" x14ac:dyDescent="0.35">
      <c r="A557">
        <v>556</v>
      </c>
      <c r="B557" s="1">
        <v>45081</v>
      </c>
      <c r="C557" t="s">
        <v>569</v>
      </c>
      <c r="D557" t="s">
        <v>13</v>
      </c>
      <c r="E557">
        <v>18</v>
      </c>
      <c r="F557" t="str" cm="1">
        <f t="array" ref="F557">_xlfn.IFS(E557&lt;=35, "18-35", E557&lt;=50, "36-50", E557&lt;=65, "51-65", TRUE, "Over 65")</f>
        <v>18-35</v>
      </c>
      <c r="G557" t="s">
        <v>16</v>
      </c>
      <c r="H557">
        <v>1</v>
      </c>
      <c r="I557" s="2">
        <v>50</v>
      </c>
      <c r="J557" s="2">
        <v>50</v>
      </c>
    </row>
    <row r="558" spans="1:10" x14ac:dyDescent="0.35">
      <c r="A558">
        <v>557</v>
      </c>
      <c r="B558" s="1">
        <v>45134</v>
      </c>
      <c r="C558" t="s">
        <v>570</v>
      </c>
      <c r="D558" t="s">
        <v>13</v>
      </c>
      <c r="E558">
        <v>20</v>
      </c>
      <c r="F558" t="str" cm="1">
        <f t="array" ref="F558">_xlfn.IFS(E558&lt;=35, "18-35", E558&lt;=50, "36-50", E558&lt;=65, "51-65", TRUE, "Over 65")</f>
        <v>18-35</v>
      </c>
      <c r="G558" t="s">
        <v>11</v>
      </c>
      <c r="H558">
        <v>3</v>
      </c>
      <c r="I558" s="2">
        <v>30</v>
      </c>
      <c r="J558" s="2">
        <v>90</v>
      </c>
    </row>
    <row r="559" spans="1:10" x14ac:dyDescent="0.35">
      <c r="A559">
        <v>558</v>
      </c>
      <c r="B559" s="1">
        <v>45207</v>
      </c>
      <c r="C559" t="s">
        <v>571</v>
      </c>
      <c r="D559" t="s">
        <v>13</v>
      </c>
      <c r="E559">
        <v>41</v>
      </c>
      <c r="F559" t="str" cm="1">
        <f t="array" ref="F559">_xlfn.IFS(E559&lt;=35, "18-35", E559&lt;=50, "36-50", E559&lt;=65, "51-65", TRUE, "Over 65")</f>
        <v>36-50</v>
      </c>
      <c r="G559" t="s">
        <v>14</v>
      </c>
      <c r="H559">
        <v>1</v>
      </c>
      <c r="I559" s="2">
        <v>25</v>
      </c>
      <c r="J559" s="2">
        <v>25</v>
      </c>
    </row>
    <row r="560" spans="1:10" x14ac:dyDescent="0.35">
      <c r="A560">
        <v>559</v>
      </c>
      <c r="B560" s="1">
        <v>44927</v>
      </c>
      <c r="C560" t="s">
        <v>572</v>
      </c>
      <c r="D560" t="s">
        <v>13</v>
      </c>
      <c r="E560">
        <v>40</v>
      </c>
      <c r="F560" t="str" cm="1">
        <f t="array" ref="F560">_xlfn.IFS(E560&lt;=35, "18-35", E560&lt;=50, "36-50", E560&lt;=65, "51-65", TRUE, "Over 65")</f>
        <v>36-50</v>
      </c>
      <c r="G560" t="s">
        <v>14</v>
      </c>
      <c r="H560">
        <v>4</v>
      </c>
      <c r="I560" s="2">
        <v>300</v>
      </c>
      <c r="J560" s="2">
        <v>1200</v>
      </c>
    </row>
    <row r="561" spans="1:10" x14ac:dyDescent="0.35">
      <c r="A561">
        <v>560</v>
      </c>
      <c r="B561" s="1">
        <v>45082</v>
      </c>
      <c r="C561" t="s">
        <v>573</v>
      </c>
      <c r="D561" t="s">
        <v>13</v>
      </c>
      <c r="E561">
        <v>25</v>
      </c>
      <c r="F561" t="str" cm="1">
        <f t="array" ref="F561">_xlfn.IFS(E561&lt;=35, "18-35", E561&lt;=50, "36-50", E561&lt;=65, "51-65", TRUE, "Over 65")</f>
        <v>18-35</v>
      </c>
      <c r="G561" t="s">
        <v>16</v>
      </c>
      <c r="H561">
        <v>1</v>
      </c>
      <c r="I561" s="2">
        <v>50</v>
      </c>
      <c r="J561" s="2">
        <v>50</v>
      </c>
    </row>
    <row r="562" spans="1:10" x14ac:dyDescent="0.35">
      <c r="A562">
        <v>561</v>
      </c>
      <c r="B562" s="1">
        <v>45073</v>
      </c>
      <c r="C562" t="s">
        <v>574</v>
      </c>
      <c r="D562" t="s">
        <v>13</v>
      </c>
      <c r="E562">
        <v>64</v>
      </c>
      <c r="F562" t="str" cm="1">
        <f t="array" ref="F562">_xlfn.IFS(E562&lt;=35, "18-35", E562&lt;=50, "36-50", E562&lt;=65, "51-65", TRUE, "Over 65")</f>
        <v>51-65</v>
      </c>
      <c r="G562" t="s">
        <v>14</v>
      </c>
      <c r="H562">
        <v>4</v>
      </c>
      <c r="I562" s="2">
        <v>500</v>
      </c>
      <c r="J562" s="2">
        <v>2000</v>
      </c>
    </row>
    <row r="563" spans="1:10" x14ac:dyDescent="0.35">
      <c r="A563">
        <v>562</v>
      </c>
      <c r="B563" s="1">
        <v>45034</v>
      </c>
      <c r="C563" t="s">
        <v>575</v>
      </c>
      <c r="D563" t="s">
        <v>10</v>
      </c>
      <c r="E563">
        <v>54</v>
      </c>
      <c r="F563" t="str" cm="1">
        <f t="array" ref="F563">_xlfn.IFS(E563&lt;=35, "18-35", E563&lt;=50, "36-50", E563&lt;=65, "51-65", TRUE, "Over 65")</f>
        <v>51-65</v>
      </c>
      <c r="G563" t="s">
        <v>16</v>
      </c>
      <c r="H563">
        <v>2</v>
      </c>
      <c r="I563" s="2">
        <v>25</v>
      </c>
      <c r="J563" s="2">
        <v>50</v>
      </c>
    </row>
    <row r="564" spans="1:10" x14ac:dyDescent="0.35">
      <c r="A564">
        <v>563</v>
      </c>
      <c r="B564" s="1">
        <v>45147</v>
      </c>
      <c r="C564" t="s">
        <v>576</v>
      </c>
      <c r="D564" t="s">
        <v>10</v>
      </c>
      <c r="E564">
        <v>20</v>
      </c>
      <c r="F564" t="str" cm="1">
        <f t="array" ref="F564">_xlfn.IFS(E564&lt;=35, "18-35", E564&lt;=50, "36-50", E564&lt;=65, "51-65", TRUE, "Over 65")</f>
        <v>18-35</v>
      </c>
      <c r="G564" t="s">
        <v>14</v>
      </c>
      <c r="H564">
        <v>2</v>
      </c>
      <c r="I564" s="2">
        <v>30</v>
      </c>
      <c r="J564" s="2">
        <v>60</v>
      </c>
    </row>
    <row r="565" spans="1:10" x14ac:dyDescent="0.35">
      <c r="A565">
        <v>564</v>
      </c>
      <c r="B565" s="1">
        <v>45223</v>
      </c>
      <c r="C565" t="s">
        <v>577</v>
      </c>
      <c r="D565" t="s">
        <v>10</v>
      </c>
      <c r="E565">
        <v>50</v>
      </c>
      <c r="F565" t="str" cm="1">
        <f t="array" ref="F565">_xlfn.IFS(E565&lt;=35, "18-35", E565&lt;=50, "36-50", E565&lt;=65, "51-65", TRUE, "Over 65")</f>
        <v>36-50</v>
      </c>
      <c r="G565" t="s">
        <v>16</v>
      </c>
      <c r="H565">
        <v>2</v>
      </c>
      <c r="I565" s="2">
        <v>50</v>
      </c>
      <c r="J565" s="2">
        <v>100</v>
      </c>
    </row>
    <row r="566" spans="1:10" x14ac:dyDescent="0.35">
      <c r="A566">
        <v>565</v>
      </c>
      <c r="B566" s="1">
        <v>45237</v>
      </c>
      <c r="C566" t="s">
        <v>578</v>
      </c>
      <c r="D566" t="s">
        <v>13</v>
      </c>
      <c r="E566">
        <v>45</v>
      </c>
      <c r="F566" t="str" cm="1">
        <f t="array" ref="F566">_xlfn.IFS(E566&lt;=35, "18-35", E566&lt;=50, "36-50", E566&lt;=65, "51-65", TRUE, "Over 65")</f>
        <v>36-50</v>
      </c>
      <c r="G566" t="s">
        <v>11</v>
      </c>
      <c r="H566">
        <v>2</v>
      </c>
      <c r="I566" s="2">
        <v>30</v>
      </c>
      <c r="J566" s="2">
        <v>60</v>
      </c>
    </row>
    <row r="567" spans="1:10" x14ac:dyDescent="0.35">
      <c r="A567">
        <v>566</v>
      </c>
      <c r="B567" s="1">
        <v>45262</v>
      </c>
      <c r="C567" t="s">
        <v>579</v>
      </c>
      <c r="D567" t="s">
        <v>13</v>
      </c>
      <c r="E567">
        <v>64</v>
      </c>
      <c r="F567" t="str" cm="1">
        <f t="array" ref="F567">_xlfn.IFS(E567&lt;=35, "18-35", E567&lt;=50, "36-50", E567&lt;=65, "51-65", TRUE, "Over 65")</f>
        <v>51-65</v>
      </c>
      <c r="G567" t="s">
        <v>14</v>
      </c>
      <c r="H567">
        <v>1</v>
      </c>
      <c r="I567" s="2">
        <v>30</v>
      </c>
      <c r="J567" s="2">
        <v>30</v>
      </c>
    </row>
    <row r="568" spans="1:10" x14ac:dyDescent="0.35">
      <c r="A568">
        <v>567</v>
      </c>
      <c r="B568" s="1">
        <v>45091</v>
      </c>
      <c r="C568" t="s">
        <v>580</v>
      </c>
      <c r="D568" t="s">
        <v>13</v>
      </c>
      <c r="E568">
        <v>25</v>
      </c>
      <c r="F568" t="str" cm="1">
        <f t="array" ref="F568">_xlfn.IFS(E568&lt;=35, "18-35", E568&lt;=50, "36-50", E568&lt;=65, "51-65", TRUE, "Over 65")</f>
        <v>18-35</v>
      </c>
      <c r="G568" t="s">
        <v>14</v>
      </c>
      <c r="H568">
        <v>3</v>
      </c>
      <c r="I568" s="2">
        <v>300</v>
      </c>
      <c r="J568" s="2">
        <v>900</v>
      </c>
    </row>
    <row r="569" spans="1:10" x14ac:dyDescent="0.35">
      <c r="A569">
        <v>568</v>
      </c>
      <c r="B569" s="1">
        <v>45165</v>
      </c>
      <c r="C569" t="s">
        <v>581</v>
      </c>
      <c r="D569" t="s">
        <v>13</v>
      </c>
      <c r="E569">
        <v>51</v>
      </c>
      <c r="F569" t="str" cm="1">
        <f t="array" ref="F569">_xlfn.IFS(E569&lt;=35, "18-35", E569&lt;=50, "36-50", E569&lt;=65, "51-65", TRUE, "Over 65")</f>
        <v>51-65</v>
      </c>
      <c r="G569" t="s">
        <v>16</v>
      </c>
      <c r="H569">
        <v>1</v>
      </c>
      <c r="I569" s="2">
        <v>300</v>
      </c>
      <c r="J569" s="2">
        <v>300</v>
      </c>
    </row>
    <row r="570" spans="1:10" x14ac:dyDescent="0.35">
      <c r="A570">
        <v>569</v>
      </c>
      <c r="B570" s="1">
        <v>45153</v>
      </c>
      <c r="C570" t="s">
        <v>582</v>
      </c>
      <c r="D570" t="s">
        <v>10</v>
      </c>
      <c r="E570">
        <v>52</v>
      </c>
      <c r="F570" t="str" cm="1">
        <f t="array" ref="F570">_xlfn.IFS(E570&lt;=35, "18-35", E570&lt;=50, "36-50", E570&lt;=65, "51-65", TRUE, "Over 65")</f>
        <v>51-65</v>
      </c>
      <c r="G570" t="s">
        <v>16</v>
      </c>
      <c r="H570">
        <v>4</v>
      </c>
      <c r="I570" s="2">
        <v>50</v>
      </c>
      <c r="J570" s="2">
        <v>200</v>
      </c>
    </row>
    <row r="571" spans="1:10" x14ac:dyDescent="0.35">
      <c r="A571">
        <v>570</v>
      </c>
      <c r="B571" s="1">
        <v>45153</v>
      </c>
      <c r="C571" t="s">
        <v>583</v>
      </c>
      <c r="D571" t="s">
        <v>10</v>
      </c>
      <c r="E571">
        <v>49</v>
      </c>
      <c r="F571" t="str" cm="1">
        <f t="array" ref="F571">_xlfn.IFS(E571&lt;=35, "18-35", E571&lt;=50, "36-50", E571&lt;=65, "51-65", TRUE, "Over 65")</f>
        <v>36-50</v>
      </c>
      <c r="G571" t="s">
        <v>14</v>
      </c>
      <c r="H571">
        <v>1</v>
      </c>
      <c r="I571" s="2">
        <v>500</v>
      </c>
      <c r="J571" s="2">
        <v>500</v>
      </c>
    </row>
    <row r="572" spans="1:10" x14ac:dyDescent="0.35">
      <c r="A572">
        <v>571</v>
      </c>
      <c r="B572" s="1">
        <v>45272</v>
      </c>
      <c r="C572" t="s">
        <v>584</v>
      </c>
      <c r="D572" t="s">
        <v>13</v>
      </c>
      <c r="E572">
        <v>41</v>
      </c>
      <c r="F572" t="str" cm="1">
        <f t="array" ref="F572">_xlfn.IFS(E572&lt;=35, "18-35", E572&lt;=50, "36-50", E572&lt;=65, "51-65", TRUE, "Over 65")</f>
        <v>36-50</v>
      </c>
      <c r="G572" t="s">
        <v>16</v>
      </c>
      <c r="H572">
        <v>1</v>
      </c>
      <c r="I572" s="2">
        <v>50</v>
      </c>
      <c r="J572" s="2">
        <v>50</v>
      </c>
    </row>
    <row r="573" spans="1:10" x14ac:dyDescent="0.35">
      <c r="A573">
        <v>572</v>
      </c>
      <c r="B573" s="1">
        <v>45036</v>
      </c>
      <c r="C573" t="s">
        <v>585</v>
      </c>
      <c r="D573" t="s">
        <v>10</v>
      </c>
      <c r="E573">
        <v>31</v>
      </c>
      <c r="F573" t="str" cm="1">
        <f t="array" ref="F573">_xlfn.IFS(E573&lt;=35, "18-35", E573&lt;=50, "36-50", E573&lt;=65, "51-65", TRUE, "Over 65")</f>
        <v>18-35</v>
      </c>
      <c r="G573" t="s">
        <v>14</v>
      </c>
      <c r="H573">
        <v>4</v>
      </c>
      <c r="I573" s="2">
        <v>500</v>
      </c>
      <c r="J573" s="2">
        <v>2000</v>
      </c>
    </row>
    <row r="574" spans="1:10" x14ac:dyDescent="0.35">
      <c r="A574">
        <v>573</v>
      </c>
      <c r="B574" s="1">
        <v>45188</v>
      </c>
      <c r="C574" t="s">
        <v>586</v>
      </c>
      <c r="D574" t="s">
        <v>10</v>
      </c>
      <c r="E574">
        <v>49</v>
      </c>
      <c r="F574" t="str" cm="1">
        <f t="array" ref="F574">_xlfn.IFS(E574&lt;=35, "18-35", E574&lt;=50, "36-50", E574&lt;=65, "51-65", TRUE, "Over 65")</f>
        <v>36-50</v>
      </c>
      <c r="G574" t="s">
        <v>11</v>
      </c>
      <c r="H574">
        <v>2</v>
      </c>
      <c r="I574" s="2">
        <v>30</v>
      </c>
      <c r="J574" s="2">
        <v>60</v>
      </c>
    </row>
    <row r="575" spans="1:10" x14ac:dyDescent="0.35">
      <c r="A575">
        <v>574</v>
      </c>
      <c r="B575" s="1">
        <v>45169</v>
      </c>
      <c r="C575" t="s">
        <v>587</v>
      </c>
      <c r="D575" t="s">
        <v>13</v>
      </c>
      <c r="E575">
        <v>63</v>
      </c>
      <c r="F575" t="str" cm="1">
        <f t="array" ref="F575">_xlfn.IFS(E575&lt;=35, "18-35", E575&lt;=50, "36-50", E575&lt;=65, "51-65", TRUE, "Over 65")</f>
        <v>51-65</v>
      </c>
      <c r="G575" t="s">
        <v>16</v>
      </c>
      <c r="H575">
        <v>2</v>
      </c>
      <c r="I575" s="2">
        <v>25</v>
      </c>
      <c r="J575" s="2">
        <v>50</v>
      </c>
    </row>
    <row r="576" spans="1:10" x14ac:dyDescent="0.35">
      <c r="A576">
        <v>575</v>
      </c>
      <c r="B576" s="1">
        <v>45013</v>
      </c>
      <c r="C576" t="s">
        <v>588</v>
      </c>
      <c r="D576" t="s">
        <v>10</v>
      </c>
      <c r="E576">
        <v>60</v>
      </c>
      <c r="F576" t="str" cm="1">
        <f t="array" ref="F576">_xlfn.IFS(E576&lt;=35, "18-35", E576&lt;=50, "36-50", E576&lt;=65, "51-65", TRUE, "Over 65")</f>
        <v>51-65</v>
      </c>
      <c r="G576" t="s">
        <v>14</v>
      </c>
      <c r="H576">
        <v>2</v>
      </c>
      <c r="I576" s="2">
        <v>50</v>
      </c>
      <c r="J576" s="2">
        <v>100</v>
      </c>
    </row>
    <row r="577" spans="1:10" x14ac:dyDescent="0.35">
      <c r="A577">
        <v>576</v>
      </c>
      <c r="B577" s="1">
        <v>45264</v>
      </c>
      <c r="C577" t="s">
        <v>589</v>
      </c>
      <c r="D577" t="s">
        <v>13</v>
      </c>
      <c r="E577">
        <v>33</v>
      </c>
      <c r="F577" t="str" cm="1">
        <f t="array" ref="F577">_xlfn.IFS(E577&lt;=35, "18-35", E577&lt;=50, "36-50", E577&lt;=65, "51-65", TRUE, "Over 65")</f>
        <v>18-35</v>
      </c>
      <c r="G577" t="s">
        <v>11</v>
      </c>
      <c r="H577">
        <v>3</v>
      </c>
      <c r="I577" s="2">
        <v>50</v>
      </c>
      <c r="J577" s="2">
        <v>150</v>
      </c>
    </row>
    <row r="578" spans="1:10" x14ac:dyDescent="0.35">
      <c r="A578">
        <v>577</v>
      </c>
      <c r="B578" s="1">
        <v>44970</v>
      </c>
      <c r="C578" t="s">
        <v>590</v>
      </c>
      <c r="D578" t="s">
        <v>10</v>
      </c>
      <c r="E578">
        <v>21</v>
      </c>
      <c r="F578" t="str" cm="1">
        <f t="array" ref="F578">_xlfn.IFS(E578&lt;=35, "18-35", E578&lt;=50, "36-50", E578&lt;=65, "51-65", TRUE, "Over 65")</f>
        <v>18-35</v>
      </c>
      <c r="G578" t="s">
        <v>11</v>
      </c>
      <c r="H578">
        <v>4</v>
      </c>
      <c r="I578" s="2">
        <v>500</v>
      </c>
      <c r="J578" s="2">
        <v>2000</v>
      </c>
    </row>
    <row r="579" spans="1:10" x14ac:dyDescent="0.35">
      <c r="A579">
        <v>578</v>
      </c>
      <c r="B579" s="1">
        <v>45072</v>
      </c>
      <c r="C579" t="s">
        <v>591</v>
      </c>
      <c r="D579" t="s">
        <v>13</v>
      </c>
      <c r="E579">
        <v>54</v>
      </c>
      <c r="F579" t="str" cm="1">
        <f t="array" ref="F579">_xlfn.IFS(E579&lt;=35, "18-35", E579&lt;=50, "36-50", E579&lt;=65, "51-65", TRUE, "Over 65")</f>
        <v>51-65</v>
      </c>
      <c r="G579" t="s">
        <v>14</v>
      </c>
      <c r="H579">
        <v>4</v>
      </c>
      <c r="I579" s="2">
        <v>30</v>
      </c>
      <c r="J579" s="2">
        <v>120</v>
      </c>
    </row>
    <row r="580" spans="1:10" x14ac:dyDescent="0.35">
      <c r="A580">
        <v>579</v>
      </c>
      <c r="B580" s="1">
        <v>45190</v>
      </c>
      <c r="C580" t="s">
        <v>592</v>
      </c>
      <c r="D580" t="s">
        <v>13</v>
      </c>
      <c r="E580">
        <v>38</v>
      </c>
      <c r="F580" t="str" cm="1">
        <f t="array" ref="F580">_xlfn.IFS(E580&lt;=35, "18-35", E580&lt;=50, "36-50", E580&lt;=65, "51-65", TRUE, "Over 65")</f>
        <v>36-50</v>
      </c>
      <c r="G580" t="s">
        <v>16</v>
      </c>
      <c r="H580">
        <v>1</v>
      </c>
      <c r="I580" s="2">
        <v>30</v>
      </c>
      <c r="J580" s="2">
        <v>30</v>
      </c>
    </row>
    <row r="581" spans="1:10" x14ac:dyDescent="0.35">
      <c r="A581">
        <v>580</v>
      </c>
      <c r="B581" s="1">
        <v>45266</v>
      </c>
      <c r="C581" t="s">
        <v>593</v>
      </c>
      <c r="D581" t="s">
        <v>13</v>
      </c>
      <c r="E581">
        <v>31</v>
      </c>
      <c r="F581" t="str" cm="1">
        <f t="array" ref="F581">_xlfn.IFS(E581&lt;=35, "18-35", E581&lt;=50, "36-50", E581&lt;=65, "51-65", TRUE, "Over 65")</f>
        <v>18-35</v>
      </c>
      <c r="G581" t="s">
        <v>14</v>
      </c>
      <c r="H581">
        <v>3</v>
      </c>
      <c r="I581" s="2">
        <v>500</v>
      </c>
      <c r="J581" s="2">
        <v>1500</v>
      </c>
    </row>
    <row r="582" spans="1:10" x14ac:dyDescent="0.35">
      <c r="A582">
        <v>581</v>
      </c>
      <c r="B582" s="1">
        <v>45251</v>
      </c>
      <c r="C582" t="s">
        <v>594</v>
      </c>
      <c r="D582" t="s">
        <v>13</v>
      </c>
      <c r="E582">
        <v>48</v>
      </c>
      <c r="F582" t="str" cm="1">
        <f t="array" ref="F582">_xlfn.IFS(E582&lt;=35, "18-35", E582&lt;=50, "36-50", E582&lt;=65, "51-65", TRUE, "Over 65")</f>
        <v>36-50</v>
      </c>
      <c r="G582" t="s">
        <v>11</v>
      </c>
      <c r="H582">
        <v>2</v>
      </c>
      <c r="I582" s="2">
        <v>30</v>
      </c>
      <c r="J582" s="2">
        <v>60</v>
      </c>
    </row>
    <row r="583" spans="1:10" x14ac:dyDescent="0.35">
      <c r="A583">
        <v>582</v>
      </c>
      <c r="B583" s="1">
        <v>45244</v>
      </c>
      <c r="C583" t="s">
        <v>595</v>
      </c>
      <c r="D583" t="s">
        <v>10</v>
      </c>
      <c r="E583">
        <v>35</v>
      </c>
      <c r="F583" t="str" cm="1">
        <f t="array" ref="F583">_xlfn.IFS(E583&lt;=35, "18-35", E583&lt;=50, "36-50", E583&lt;=65, "51-65", TRUE, "Over 65")</f>
        <v>18-35</v>
      </c>
      <c r="G583" t="s">
        <v>14</v>
      </c>
      <c r="H583">
        <v>3</v>
      </c>
      <c r="I583" s="2">
        <v>300</v>
      </c>
      <c r="J583" s="2">
        <v>900</v>
      </c>
    </row>
    <row r="584" spans="1:10" x14ac:dyDescent="0.35">
      <c r="A584">
        <v>583</v>
      </c>
      <c r="B584" s="1">
        <v>45098</v>
      </c>
      <c r="C584" t="s">
        <v>596</v>
      </c>
      <c r="D584" t="s">
        <v>13</v>
      </c>
      <c r="E584">
        <v>24</v>
      </c>
      <c r="F584" t="str" cm="1">
        <f t="array" ref="F584">_xlfn.IFS(E584&lt;=35, "18-35", E584&lt;=50, "36-50", E584&lt;=65, "51-65", TRUE, "Over 65")</f>
        <v>18-35</v>
      </c>
      <c r="G584" t="s">
        <v>16</v>
      </c>
      <c r="H584">
        <v>4</v>
      </c>
      <c r="I584" s="2">
        <v>25</v>
      </c>
      <c r="J584" s="2">
        <v>100</v>
      </c>
    </row>
    <row r="585" spans="1:10" x14ac:dyDescent="0.35">
      <c r="A585">
        <v>584</v>
      </c>
      <c r="B585" s="1">
        <v>44974</v>
      </c>
      <c r="C585" t="s">
        <v>597</v>
      </c>
      <c r="D585" t="s">
        <v>13</v>
      </c>
      <c r="E585">
        <v>27</v>
      </c>
      <c r="F585" t="str" cm="1">
        <f t="array" ref="F585">_xlfn.IFS(E585&lt;=35, "18-35", E585&lt;=50, "36-50", E585&lt;=65, "51-65", TRUE, "Over 65")</f>
        <v>18-35</v>
      </c>
      <c r="G585" t="s">
        <v>11</v>
      </c>
      <c r="H585">
        <v>4</v>
      </c>
      <c r="I585" s="2">
        <v>50</v>
      </c>
      <c r="J585" s="2">
        <v>200</v>
      </c>
    </row>
    <row r="586" spans="1:10" x14ac:dyDescent="0.35">
      <c r="A586">
        <v>585</v>
      </c>
      <c r="B586" s="1">
        <v>45047</v>
      </c>
      <c r="C586" t="s">
        <v>598</v>
      </c>
      <c r="D586" t="s">
        <v>13</v>
      </c>
      <c r="E586">
        <v>24</v>
      </c>
      <c r="F586" t="str" cm="1">
        <f t="array" ref="F586">_xlfn.IFS(E586&lt;=35, "18-35", E586&lt;=50, "36-50", E586&lt;=65, "51-65", TRUE, "Over 65")</f>
        <v>18-35</v>
      </c>
      <c r="G586" t="s">
        <v>14</v>
      </c>
      <c r="H586">
        <v>1</v>
      </c>
      <c r="I586" s="2">
        <v>25</v>
      </c>
      <c r="J586" s="2">
        <v>25</v>
      </c>
    </row>
    <row r="587" spans="1:10" x14ac:dyDescent="0.35">
      <c r="A587">
        <v>586</v>
      </c>
      <c r="B587" s="1">
        <v>45271</v>
      </c>
      <c r="C587" t="s">
        <v>599</v>
      </c>
      <c r="D587" t="s">
        <v>10</v>
      </c>
      <c r="E587">
        <v>50</v>
      </c>
      <c r="F587" t="str" cm="1">
        <f t="array" ref="F587">_xlfn.IFS(E587&lt;=35, "18-35", E587&lt;=50, "36-50", E587&lt;=65, "51-65", TRUE, "Over 65")</f>
        <v>36-50</v>
      </c>
      <c r="G587" t="s">
        <v>16</v>
      </c>
      <c r="H587">
        <v>1</v>
      </c>
      <c r="I587" s="2">
        <v>50</v>
      </c>
      <c r="J587" s="2">
        <v>50</v>
      </c>
    </row>
    <row r="588" spans="1:10" x14ac:dyDescent="0.35">
      <c r="A588">
        <v>587</v>
      </c>
      <c r="B588" s="1">
        <v>45085</v>
      </c>
      <c r="C588" t="s">
        <v>600</v>
      </c>
      <c r="D588" t="s">
        <v>13</v>
      </c>
      <c r="E588">
        <v>40</v>
      </c>
      <c r="F588" t="str" cm="1">
        <f t="array" ref="F588">_xlfn.IFS(E588&lt;=35, "18-35", E588&lt;=50, "36-50", E588&lt;=65, "51-65", TRUE, "Over 65")</f>
        <v>36-50</v>
      </c>
      <c r="G588" t="s">
        <v>11</v>
      </c>
      <c r="H588">
        <v>4</v>
      </c>
      <c r="I588" s="2">
        <v>300</v>
      </c>
      <c r="J588" s="2">
        <v>1200</v>
      </c>
    </row>
    <row r="589" spans="1:10" x14ac:dyDescent="0.35">
      <c r="A589">
        <v>588</v>
      </c>
      <c r="B589" s="1">
        <v>45042</v>
      </c>
      <c r="C589" t="s">
        <v>601</v>
      </c>
      <c r="D589" t="s">
        <v>10</v>
      </c>
      <c r="E589">
        <v>38</v>
      </c>
      <c r="F589" t="str" cm="1">
        <f t="array" ref="F589">_xlfn.IFS(E589&lt;=35, "18-35", E589&lt;=50, "36-50", E589&lt;=65, "51-65", TRUE, "Over 65")</f>
        <v>36-50</v>
      </c>
      <c r="G589" t="s">
        <v>16</v>
      </c>
      <c r="H589">
        <v>2</v>
      </c>
      <c r="I589" s="2">
        <v>30</v>
      </c>
      <c r="J589" s="2">
        <v>60</v>
      </c>
    </row>
    <row r="590" spans="1:10" x14ac:dyDescent="0.35">
      <c r="A590">
        <v>589</v>
      </c>
      <c r="B590" s="1">
        <v>45028</v>
      </c>
      <c r="C590" t="s">
        <v>602</v>
      </c>
      <c r="D590" t="s">
        <v>13</v>
      </c>
      <c r="E590">
        <v>36</v>
      </c>
      <c r="F590" t="str" cm="1">
        <f t="array" ref="F590">_xlfn.IFS(E590&lt;=35, "18-35", E590&lt;=50, "36-50", E590&lt;=65, "51-65", TRUE, "Over 65")</f>
        <v>36-50</v>
      </c>
      <c r="G590" t="s">
        <v>11</v>
      </c>
      <c r="H590">
        <v>2</v>
      </c>
      <c r="I590" s="2">
        <v>500</v>
      </c>
      <c r="J590" s="2">
        <v>1000</v>
      </c>
    </row>
    <row r="591" spans="1:10" x14ac:dyDescent="0.35">
      <c r="A591">
        <v>590</v>
      </c>
      <c r="B591" s="1">
        <v>45002</v>
      </c>
      <c r="C591" t="s">
        <v>603</v>
      </c>
      <c r="D591" t="s">
        <v>10</v>
      </c>
      <c r="E591">
        <v>36</v>
      </c>
      <c r="F591" t="str" cm="1">
        <f t="array" ref="F591">_xlfn.IFS(E591&lt;=35, "18-35", E591&lt;=50, "36-50", E591&lt;=65, "51-65", TRUE, "Over 65")</f>
        <v>36-50</v>
      </c>
      <c r="G591" t="s">
        <v>14</v>
      </c>
      <c r="H591">
        <v>3</v>
      </c>
      <c r="I591" s="2">
        <v>300</v>
      </c>
      <c r="J591" s="2">
        <v>900</v>
      </c>
    </row>
    <row r="592" spans="1:10" x14ac:dyDescent="0.35">
      <c r="A592">
        <v>591</v>
      </c>
      <c r="B592" s="1">
        <v>44939</v>
      </c>
      <c r="C592" t="s">
        <v>604</v>
      </c>
      <c r="D592" t="s">
        <v>10</v>
      </c>
      <c r="E592">
        <v>53</v>
      </c>
      <c r="F592" t="str" cm="1">
        <f t="array" ref="F592">_xlfn.IFS(E592&lt;=35, "18-35", E592&lt;=50, "36-50", E592&lt;=65, "51-65", TRUE, "Over 65")</f>
        <v>51-65</v>
      </c>
      <c r="G592" t="s">
        <v>16</v>
      </c>
      <c r="H592">
        <v>4</v>
      </c>
      <c r="I592" s="2">
        <v>25</v>
      </c>
      <c r="J592" s="2">
        <v>100</v>
      </c>
    </row>
    <row r="593" spans="1:10" x14ac:dyDescent="0.35">
      <c r="A593">
        <v>592</v>
      </c>
      <c r="B593" s="1">
        <v>44950</v>
      </c>
      <c r="C593" t="s">
        <v>605</v>
      </c>
      <c r="D593" t="s">
        <v>13</v>
      </c>
      <c r="E593">
        <v>46</v>
      </c>
      <c r="F593" t="str" cm="1">
        <f t="array" ref="F593">_xlfn.IFS(E593&lt;=35, "18-35", E593&lt;=50, "36-50", E593&lt;=65, "51-65", TRUE, "Over 65")</f>
        <v>36-50</v>
      </c>
      <c r="G593" t="s">
        <v>11</v>
      </c>
      <c r="H593">
        <v>4</v>
      </c>
      <c r="I593" s="2">
        <v>500</v>
      </c>
      <c r="J593" s="2">
        <v>2000</v>
      </c>
    </row>
    <row r="594" spans="1:10" x14ac:dyDescent="0.35">
      <c r="A594">
        <v>593</v>
      </c>
      <c r="B594" s="1">
        <v>45052</v>
      </c>
      <c r="C594" t="s">
        <v>606</v>
      </c>
      <c r="D594" t="s">
        <v>10</v>
      </c>
      <c r="E594">
        <v>35</v>
      </c>
      <c r="F594" t="str" cm="1">
        <f t="array" ref="F594">_xlfn.IFS(E594&lt;=35, "18-35", E594&lt;=50, "36-50", E594&lt;=65, "51-65", TRUE, "Over 65")</f>
        <v>18-35</v>
      </c>
      <c r="G594" t="s">
        <v>16</v>
      </c>
      <c r="H594">
        <v>2</v>
      </c>
      <c r="I594" s="2">
        <v>30</v>
      </c>
      <c r="J594" s="2">
        <v>60</v>
      </c>
    </row>
    <row r="595" spans="1:10" x14ac:dyDescent="0.35">
      <c r="A595">
        <v>594</v>
      </c>
      <c r="B595" s="1">
        <v>45170</v>
      </c>
      <c r="C595" t="s">
        <v>607</v>
      </c>
      <c r="D595" t="s">
        <v>13</v>
      </c>
      <c r="E595">
        <v>19</v>
      </c>
      <c r="F595" t="str" cm="1">
        <f t="array" ref="F595">_xlfn.IFS(E595&lt;=35, "18-35", E595&lt;=50, "36-50", E595&lt;=65, "51-65", TRUE, "Over 65")</f>
        <v>18-35</v>
      </c>
      <c r="G595" t="s">
        <v>16</v>
      </c>
      <c r="H595">
        <v>2</v>
      </c>
      <c r="I595" s="2">
        <v>300</v>
      </c>
      <c r="J595" s="2">
        <v>600</v>
      </c>
    </row>
    <row r="596" spans="1:10" x14ac:dyDescent="0.35">
      <c r="A596">
        <v>595</v>
      </c>
      <c r="B596" s="1">
        <v>45239</v>
      </c>
      <c r="C596" t="s">
        <v>608</v>
      </c>
      <c r="D596" t="s">
        <v>13</v>
      </c>
      <c r="E596">
        <v>18</v>
      </c>
      <c r="F596" t="str" cm="1">
        <f t="array" ref="F596">_xlfn.IFS(E596&lt;=35, "18-35", E596&lt;=50, "36-50", E596&lt;=65, "51-65", TRUE, "Over 65")</f>
        <v>18-35</v>
      </c>
      <c r="G596" t="s">
        <v>14</v>
      </c>
      <c r="H596">
        <v>4</v>
      </c>
      <c r="I596" s="2">
        <v>500</v>
      </c>
      <c r="J596" s="2">
        <v>2000</v>
      </c>
    </row>
    <row r="597" spans="1:10" x14ac:dyDescent="0.35">
      <c r="A597">
        <v>596</v>
      </c>
      <c r="B597" s="1">
        <v>44964</v>
      </c>
      <c r="C597" t="s">
        <v>609</v>
      </c>
      <c r="D597" t="s">
        <v>13</v>
      </c>
      <c r="E597">
        <v>64</v>
      </c>
      <c r="F597" t="str" cm="1">
        <f t="array" ref="F597">_xlfn.IFS(E597&lt;=35, "18-35", E597&lt;=50, "36-50", E597&lt;=65, "51-65", TRUE, "Over 65")</f>
        <v>51-65</v>
      </c>
      <c r="G597" t="s">
        <v>16</v>
      </c>
      <c r="H597">
        <v>1</v>
      </c>
      <c r="I597" s="2">
        <v>300</v>
      </c>
      <c r="J597" s="2">
        <v>300</v>
      </c>
    </row>
    <row r="598" spans="1:10" x14ac:dyDescent="0.35">
      <c r="A598">
        <v>597</v>
      </c>
      <c r="B598" s="1">
        <v>45160</v>
      </c>
      <c r="C598" t="s">
        <v>610</v>
      </c>
      <c r="D598" t="s">
        <v>10</v>
      </c>
      <c r="E598">
        <v>22</v>
      </c>
      <c r="F598" t="str" cm="1">
        <f t="array" ref="F598">_xlfn.IFS(E598&lt;=35, "18-35", E598&lt;=50, "36-50", E598&lt;=65, "51-65", TRUE, "Over 65")</f>
        <v>18-35</v>
      </c>
      <c r="G598" t="s">
        <v>11</v>
      </c>
      <c r="H598">
        <v>4</v>
      </c>
      <c r="I598" s="2">
        <v>300</v>
      </c>
      <c r="J598" s="2">
        <v>1200</v>
      </c>
    </row>
    <row r="599" spans="1:10" x14ac:dyDescent="0.35">
      <c r="A599">
        <v>598</v>
      </c>
      <c r="B599" s="1">
        <v>45139</v>
      </c>
      <c r="C599" t="s">
        <v>611</v>
      </c>
      <c r="D599" t="s">
        <v>10</v>
      </c>
      <c r="E599">
        <v>37</v>
      </c>
      <c r="F599" t="str" cm="1">
        <f t="array" ref="F599">_xlfn.IFS(E599&lt;=35, "18-35", E599&lt;=50, "36-50", E599&lt;=65, "51-65", TRUE, "Over 65")</f>
        <v>36-50</v>
      </c>
      <c r="G599" t="s">
        <v>11</v>
      </c>
      <c r="H599">
        <v>4</v>
      </c>
      <c r="I599" s="2">
        <v>30</v>
      </c>
      <c r="J599" s="2">
        <v>120</v>
      </c>
    </row>
    <row r="600" spans="1:10" x14ac:dyDescent="0.35">
      <c r="A600">
        <v>599</v>
      </c>
      <c r="B600" s="1">
        <v>45249</v>
      </c>
      <c r="C600" t="s">
        <v>612</v>
      </c>
      <c r="D600" t="s">
        <v>13</v>
      </c>
      <c r="E600">
        <v>28</v>
      </c>
      <c r="F600" t="str" cm="1">
        <f t="array" ref="F600">_xlfn.IFS(E600&lt;=35, "18-35", E600&lt;=50, "36-50", E600&lt;=65, "51-65", TRUE, "Over 65")</f>
        <v>18-35</v>
      </c>
      <c r="G600" t="s">
        <v>11</v>
      </c>
      <c r="H600">
        <v>2</v>
      </c>
      <c r="I600" s="2">
        <v>50</v>
      </c>
      <c r="J600" s="2">
        <v>100</v>
      </c>
    </row>
    <row r="601" spans="1:10" x14ac:dyDescent="0.35">
      <c r="A601">
        <v>600</v>
      </c>
      <c r="B601" s="1">
        <v>45221</v>
      </c>
      <c r="C601" t="s">
        <v>613</v>
      </c>
      <c r="D601" t="s">
        <v>13</v>
      </c>
      <c r="E601">
        <v>59</v>
      </c>
      <c r="F601" t="str" cm="1">
        <f t="array" ref="F601">_xlfn.IFS(E601&lt;=35, "18-35", E601&lt;=50, "36-50", E601&lt;=65, "51-65", TRUE, "Over 65")</f>
        <v>51-65</v>
      </c>
      <c r="G601" t="s">
        <v>11</v>
      </c>
      <c r="H601">
        <v>2</v>
      </c>
      <c r="I601" s="2">
        <v>500</v>
      </c>
      <c r="J601" s="2">
        <v>1000</v>
      </c>
    </row>
    <row r="602" spans="1:10" x14ac:dyDescent="0.35">
      <c r="A602">
        <v>601</v>
      </c>
      <c r="B602" s="1">
        <v>45026</v>
      </c>
      <c r="C602" t="s">
        <v>614</v>
      </c>
      <c r="D602" t="s">
        <v>10</v>
      </c>
      <c r="E602">
        <v>19</v>
      </c>
      <c r="F602" t="str" cm="1">
        <f t="array" ref="F602">_xlfn.IFS(E602&lt;=35, "18-35", E602&lt;=50, "36-50", E602&lt;=65, "51-65", TRUE, "Over 65")</f>
        <v>18-35</v>
      </c>
      <c r="G602" t="s">
        <v>14</v>
      </c>
      <c r="H602">
        <v>1</v>
      </c>
      <c r="I602" s="2">
        <v>30</v>
      </c>
      <c r="J602" s="2">
        <v>30</v>
      </c>
    </row>
    <row r="603" spans="1:10" x14ac:dyDescent="0.35">
      <c r="A603">
        <v>602</v>
      </c>
      <c r="B603" s="1">
        <v>45283</v>
      </c>
      <c r="C603" t="s">
        <v>615</v>
      </c>
      <c r="D603" t="s">
        <v>13</v>
      </c>
      <c r="E603">
        <v>20</v>
      </c>
      <c r="F603" t="str" cm="1">
        <f t="array" ref="F603">_xlfn.IFS(E603&lt;=35, "18-35", E603&lt;=50, "36-50", E603&lt;=65, "51-65", TRUE, "Over 65")</f>
        <v>18-35</v>
      </c>
      <c r="G603" t="s">
        <v>16</v>
      </c>
      <c r="H603">
        <v>1</v>
      </c>
      <c r="I603" s="2">
        <v>300</v>
      </c>
      <c r="J603" s="2">
        <v>300</v>
      </c>
    </row>
    <row r="604" spans="1:10" x14ac:dyDescent="0.35">
      <c r="A604">
        <v>603</v>
      </c>
      <c r="B604" s="1">
        <v>45123</v>
      </c>
      <c r="C604" t="s">
        <v>616</v>
      </c>
      <c r="D604" t="s">
        <v>13</v>
      </c>
      <c r="E604">
        <v>40</v>
      </c>
      <c r="F604" t="str" cm="1">
        <f t="array" ref="F604">_xlfn.IFS(E604&lt;=35, "18-35", E604&lt;=50, "36-50", E604&lt;=65, "51-65", TRUE, "Over 65")</f>
        <v>36-50</v>
      </c>
      <c r="G604" t="s">
        <v>14</v>
      </c>
      <c r="H604">
        <v>3</v>
      </c>
      <c r="I604" s="2">
        <v>30</v>
      </c>
      <c r="J604" s="2">
        <v>90</v>
      </c>
    </row>
    <row r="605" spans="1:10" x14ac:dyDescent="0.35">
      <c r="A605">
        <v>604</v>
      </c>
      <c r="B605" s="1">
        <v>45180</v>
      </c>
      <c r="C605" t="s">
        <v>617</v>
      </c>
      <c r="D605" t="s">
        <v>13</v>
      </c>
      <c r="E605">
        <v>29</v>
      </c>
      <c r="F605" t="str" cm="1">
        <f t="array" ref="F605">_xlfn.IFS(E605&lt;=35, "18-35", E605&lt;=50, "36-50", E605&lt;=65, "51-65", TRUE, "Over 65")</f>
        <v>18-35</v>
      </c>
      <c r="G605" t="s">
        <v>16</v>
      </c>
      <c r="H605">
        <v>4</v>
      </c>
      <c r="I605" s="2">
        <v>50</v>
      </c>
      <c r="J605" s="2">
        <v>200</v>
      </c>
    </row>
    <row r="606" spans="1:10" x14ac:dyDescent="0.35">
      <c r="A606">
        <v>605</v>
      </c>
      <c r="B606" s="1">
        <v>45131</v>
      </c>
      <c r="C606" t="s">
        <v>618</v>
      </c>
      <c r="D606" t="s">
        <v>10</v>
      </c>
      <c r="E606">
        <v>37</v>
      </c>
      <c r="F606" t="str" cm="1">
        <f t="array" ref="F606">_xlfn.IFS(E606&lt;=35, "18-35", E606&lt;=50, "36-50", E606&lt;=65, "51-65", TRUE, "Over 65")</f>
        <v>36-50</v>
      </c>
      <c r="G606" t="s">
        <v>16</v>
      </c>
      <c r="H606">
        <v>2</v>
      </c>
      <c r="I606" s="2">
        <v>500</v>
      </c>
      <c r="J606" s="2">
        <v>1000</v>
      </c>
    </row>
    <row r="607" spans="1:10" x14ac:dyDescent="0.35">
      <c r="A607">
        <v>606</v>
      </c>
      <c r="B607" s="1">
        <v>45051</v>
      </c>
      <c r="C607" t="s">
        <v>619</v>
      </c>
      <c r="D607" t="s">
        <v>10</v>
      </c>
      <c r="E607">
        <v>22</v>
      </c>
      <c r="F607" t="str" cm="1">
        <f t="array" ref="F607">_xlfn.IFS(E607&lt;=35, "18-35", E607&lt;=50, "36-50", E607&lt;=65, "51-65", TRUE, "Over 65")</f>
        <v>18-35</v>
      </c>
      <c r="G607" t="s">
        <v>16</v>
      </c>
      <c r="H607">
        <v>1</v>
      </c>
      <c r="I607" s="2">
        <v>50</v>
      </c>
      <c r="J607" s="2">
        <v>50</v>
      </c>
    </row>
    <row r="608" spans="1:10" x14ac:dyDescent="0.35">
      <c r="A608">
        <v>607</v>
      </c>
      <c r="B608" s="1">
        <v>45002</v>
      </c>
      <c r="C608" t="s">
        <v>620</v>
      </c>
      <c r="D608" t="s">
        <v>10</v>
      </c>
      <c r="E608">
        <v>54</v>
      </c>
      <c r="F608" t="str" cm="1">
        <f t="array" ref="F608">_xlfn.IFS(E608&lt;=35, "18-35", E608&lt;=50, "36-50", E608&lt;=65, "51-65", TRUE, "Over 65")</f>
        <v>51-65</v>
      </c>
      <c r="G608" t="s">
        <v>14</v>
      </c>
      <c r="H608">
        <v>3</v>
      </c>
      <c r="I608" s="2">
        <v>25</v>
      </c>
      <c r="J608" s="2">
        <v>75</v>
      </c>
    </row>
    <row r="609" spans="1:10" x14ac:dyDescent="0.35">
      <c r="A609">
        <v>608</v>
      </c>
      <c r="B609" s="1">
        <v>45262</v>
      </c>
      <c r="C609" t="s">
        <v>621</v>
      </c>
      <c r="D609" t="s">
        <v>13</v>
      </c>
      <c r="E609">
        <v>55</v>
      </c>
      <c r="F609" t="str" cm="1">
        <f t="array" ref="F609">_xlfn.IFS(E609&lt;=35, "18-35", E609&lt;=50, "36-50", E609&lt;=65, "51-65", TRUE, "Over 65")</f>
        <v>51-65</v>
      </c>
      <c r="G609" t="s">
        <v>16</v>
      </c>
      <c r="H609">
        <v>3</v>
      </c>
      <c r="I609" s="2">
        <v>500</v>
      </c>
      <c r="J609" s="2">
        <v>1500</v>
      </c>
    </row>
    <row r="610" spans="1:10" x14ac:dyDescent="0.35">
      <c r="A610">
        <v>609</v>
      </c>
      <c r="B610" s="1">
        <v>45279</v>
      </c>
      <c r="C610" t="s">
        <v>622</v>
      </c>
      <c r="D610" t="s">
        <v>13</v>
      </c>
      <c r="E610">
        <v>47</v>
      </c>
      <c r="F610" t="str" cm="1">
        <f t="array" ref="F610">_xlfn.IFS(E610&lt;=35, "18-35", E610&lt;=50, "36-50", E610&lt;=65, "51-65", TRUE, "Over 65")</f>
        <v>36-50</v>
      </c>
      <c r="G610" t="s">
        <v>14</v>
      </c>
      <c r="H610">
        <v>2</v>
      </c>
      <c r="I610" s="2">
        <v>50</v>
      </c>
      <c r="J610" s="2">
        <v>100</v>
      </c>
    </row>
    <row r="611" spans="1:10" x14ac:dyDescent="0.35">
      <c r="A611">
        <v>610</v>
      </c>
      <c r="B611" s="1">
        <v>44929</v>
      </c>
      <c r="C611" t="s">
        <v>623</v>
      </c>
      <c r="D611" t="s">
        <v>13</v>
      </c>
      <c r="E611">
        <v>26</v>
      </c>
      <c r="F611" t="str" cm="1">
        <f t="array" ref="F611">_xlfn.IFS(E611&lt;=35, "18-35", E611&lt;=50, "36-50", E611&lt;=65, "51-65", TRUE, "Over 65")</f>
        <v>18-35</v>
      </c>
      <c r="G611" t="s">
        <v>11</v>
      </c>
      <c r="H611">
        <v>2</v>
      </c>
      <c r="I611" s="2">
        <v>300</v>
      </c>
      <c r="J611" s="2">
        <v>600</v>
      </c>
    </row>
    <row r="612" spans="1:10" x14ac:dyDescent="0.35">
      <c r="A612">
        <v>611</v>
      </c>
      <c r="B612" s="1">
        <v>44981</v>
      </c>
      <c r="C612" t="s">
        <v>624</v>
      </c>
      <c r="D612" t="s">
        <v>10</v>
      </c>
      <c r="E612">
        <v>51</v>
      </c>
      <c r="F612" t="str" cm="1">
        <f t="array" ref="F612">_xlfn.IFS(E612&lt;=35, "18-35", E612&lt;=50, "36-50", E612&lt;=65, "51-65", TRUE, "Over 65")</f>
        <v>51-65</v>
      </c>
      <c r="G612" t="s">
        <v>11</v>
      </c>
      <c r="H612">
        <v>3</v>
      </c>
      <c r="I612" s="2">
        <v>500</v>
      </c>
      <c r="J612" s="2">
        <v>1500</v>
      </c>
    </row>
    <row r="613" spans="1:10" x14ac:dyDescent="0.35">
      <c r="A613">
        <v>612</v>
      </c>
      <c r="B613" s="1">
        <v>45144</v>
      </c>
      <c r="C613" t="s">
        <v>625</v>
      </c>
      <c r="D613" t="s">
        <v>13</v>
      </c>
      <c r="E613">
        <v>61</v>
      </c>
      <c r="F613" t="str" cm="1">
        <f t="array" ref="F613">_xlfn.IFS(E613&lt;=35, "18-35", E613&lt;=50, "36-50", E613&lt;=65, "51-65", TRUE, "Over 65")</f>
        <v>51-65</v>
      </c>
      <c r="G613" t="s">
        <v>16</v>
      </c>
      <c r="H613">
        <v>1</v>
      </c>
      <c r="I613" s="2">
        <v>500</v>
      </c>
      <c r="J613" s="2">
        <v>500</v>
      </c>
    </row>
    <row r="614" spans="1:10" x14ac:dyDescent="0.35">
      <c r="A614">
        <v>613</v>
      </c>
      <c r="B614" s="1">
        <v>45039</v>
      </c>
      <c r="C614" t="s">
        <v>626</v>
      </c>
      <c r="D614" t="s">
        <v>13</v>
      </c>
      <c r="E614">
        <v>52</v>
      </c>
      <c r="F614" t="str" cm="1">
        <f t="array" ref="F614">_xlfn.IFS(E614&lt;=35, "18-35", E614&lt;=50, "36-50", E614&lt;=65, "51-65", TRUE, "Over 65")</f>
        <v>51-65</v>
      </c>
      <c r="G614" t="s">
        <v>14</v>
      </c>
      <c r="H614">
        <v>3</v>
      </c>
      <c r="I614" s="2">
        <v>30</v>
      </c>
      <c r="J614" s="2">
        <v>90</v>
      </c>
    </row>
    <row r="615" spans="1:10" x14ac:dyDescent="0.35">
      <c r="A615">
        <v>614</v>
      </c>
      <c r="B615" s="1">
        <v>45017</v>
      </c>
      <c r="C615" t="s">
        <v>627</v>
      </c>
      <c r="D615" t="s">
        <v>13</v>
      </c>
      <c r="E615">
        <v>39</v>
      </c>
      <c r="F615" t="str" cm="1">
        <f t="array" ref="F615">_xlfn.IFS(E615&lt;=35, "18-35", E615&lt;=50, "36-50", E615&lt;=65, "51-65", TRUE, "Over 65")</f>
        <v>36-50</v>
      </c>
      <c r="G615" t="s">
        <v>11</v>
      </c>
      <c r="H615">
        <v>4</v>
      </c>
      <c r="I615" s="2">
        <v>300</v>
      </c>
      <c r="J615" s="2">
        <v>1200</v>
      </c>
    </row>
    <row r="616" spans="1:10" x14ac:dyDescent="0.35">
      <c r="A616">
        <v>615</v>
      </c>
      <c r="B616" s="1">
        <v>45283</v>
      </c>
      <c r="C616" t="s">
        <v>628</v>
      </c>
      <c r="D616" t="s">
        <v>13</v>
      </c>
      <c r="E616">
        <v>61</v>
      </c>
      <c r="F616" t="str" cm="1">
        <f t="array" ref="F616">_xlfn.IFS(E616&lt;=35, "18-35", E616&lt;=50, "36-50", E616&lt;=65, "51-65", TRUE, "Over 65")</f>
        <v>51-65</v>
      </c>
      <c r="G616" t="s">
        <v>14</v>
      </c>
      <c r="H616">
        <v>4</v>
      </c>
      <c r="I616" s="2">
        <v>25</v>
      </c>
      <c r="J616" s="2">
        <v>100</v>
      </c>
    </row>
    <row r="617" spans="1:10" x14ac:dyDescent="0.35">
      <c r="A617">
        <v>616</v>
      </c>
      <c r="B617" s="1">
        <v>45192</v>
      </c>
      <c r="C617" t="s">
        <v>629</v>
      </c>
      <c r="D617" t="s">
        <v>10</v>
      </c>
      <c r="E617">
        <v>41</v>
      </c>
      <c r="F617" t="str" cm="1">
        <f t="array" ref="F617">_xlfn.IFS(E617&lt;=35, "18-35", E617&lt;=50, "36-50", E617&lt;=65, "51-65", TRUE, "Over 65")</f>
        <v>36-50</v>
      </c>
      <c r="G617" t="s">
        <v>14</v>
      </c>
      <c r="H617">
        <v>2</v>
      </c>
      <c r="I617" s="2">
        <v>50</v>
      </c>
      <c r="J617" s="2">
        <v>100</v>
      </c>
    </row>
    <row r="618" spans="1:10" x14ac:dyDescent="0.35">
      <c r="A618">
        <v>617</v>
      </c>
      <c r="B618" s="1">
        <v>45164</v>
      </c>
      <c r="C618" t="s">
        <v>630</v>
      </c>
      <c r="D618" t="s">
        <v>10</v>
      </c>
      <c r="E618">
        <v>34</v>
      </c>
      <c r="F618" t="str" cm="1">
        <f t="array" ref="F618">_xlfn.IFS(E618&lt;=35, "18-35", E618&lt;=50, "36-50", E618&lt;=65, "51-65", TRUE, "Over 65")</f>
        <v>18-35</v>
      </c>
      <c r="G618" t="s">
        <v>16</v>
      </c>
      <c r="H618">
        <v>1</v>
      </c>
      <c r="I618" s="2">
        <v>30</v>
      </c>
      <c r="J618" s="2">
        <v>30</v>
      </c>
    </row>
    <row r="619" spans="1:10" x14ac:dyDescent="0.35">
      <c r="A619">
        <v>618</v>
      </c>
      <c r="B619" s="1">
        <v>44952</v>
      </c>
      <c r="C619" t="s">
        <v>631</v>
      </c>
      <c r="D619" t="s">
        <v>13</v>
      </c>
      <c r="E619">
        <v>27</v>
      </c>
      <c r="F619" t="str" cm="1">
        <f t="array" ref="F619">_xlfn.IFS(E619&lt;=35, "18-35", E619&lt;=50, "36-50", E619&lt;=65, "51-65", TRUE, "Over 65")</f>
        <v>18-35</v>
      </c>
      <c r="G619" t="s">
        <v>11</v>
      </c>
      <c r="H619">
        <v>1</v>
      </c>
      <c r="I619" s="2">
        <v>50</v>
      </c>
      <c r="J619" s="2">
        <v>50</v>
      </c>
    </row>
    <row r="620" spans="1:10" x14ac:dyDescent="0.35">
      <c r="A620">
        <v>619</v>
      </c>
      <c r="B620" s="1">
        <v>45212</v>
      </c>
      <c r="C620" t="s">
        <v>632</v>
      </c>
      <c r="D620" t="s">
        <v>10</v>
      </c>
      <c r="E620">
        <v>47</v>
      </c>
      <c r="F620" t="str" cm="1">
        <f t="array" ref="F620">_xlfn.IFS(E620&lt;=35, "18-35", E620&lt;=50, "36-50", E620&lt;=65, "51-65", TRUE, "Over 65")</f>
        <v>36-50</v>
      </c>
      <c r="G620" t="s">
        <v>16</v>
      </c>
      <c r="H620">
        <v>4</v>
      </c>
      <c r="I620" s="2">
        <v>25</v>
      </c>
      <c r="J620" s="2">
        <v>100</v>
      </c>
    </row>
    <row r="621" spans="1:10" x14ac:dyDescent="0.35">
      <c r="A621">
        <v>620</v>
      </c>
      <c r="B621" s="1">
        <v>45054</v>
      </c>
      <c r="C621" t="s">
        <v>633</v>
      </c>
      <c r="D621" t="s">
        <v>10</v>
      </c>
      <c r="E621">
        <v>63</v>
      </c>
      <c r="F621" t="str" cm="1">
        <f t="array" ref="F621">_xlfn.IFS(E621&lt;=35, "18-35", E621&lt;=50, "36-50", E621&lt;=65, "51-65", TRUE, "Over 65")</f>
        <v>51-65</v>
      </c>
      <c r="G621" t="s">
        <v>16</v>
      </c>
      <c r="H621">
        <v>3</v>
      </c>
      <c r="I621" s="2">
        <v>25</v>
      </c>
      <c r="J621" s="2">
        <v>75</v>
      </c>
    </row>
    <row r="622" spans="1:10" x14ac:dyDescent="0.35">
      <c r="A622">
        <v>621</v>
      </c>
      <c r="B622" s="1">
        <v>44989</v>
      </c>
      <c r="C622" t="s">
        <v>634</v>
      </c>
      <c r="D622" t="s">
        <v>13</v>
      </c>
      <c r="E622">
        <v>40</v>
      </c>
      <c r="F622" t="str" cm="1">
        <f t="array" ref="F622">_xlfn.IFS(E622&lt;=35, "18-35", E622&lt;=50, "36-50", E622&lt;=65, "51-65", TRUE, "Over 65")</f>
        <v>36-50</v>
      </c>
      <c r="G622" t="s">
        <v>11</v>
      </c>
      <c r="H622">
        <v>2</v>
      </c>
      <c r="I622" s="2">
        <v>500</v>
      </c>
      <c r="J622" s="2">
        <v>1000</v>
      </c>
    </row>
    <row r="623" spans="1:10" x14ac:dyDescent="0.35">
      <c r="A623">
        <v>622</v>
      </c>
      <c r="B623" s="1">
        <v>45160</v>
      </c>
      <c r="C623" t="s">
        <v>635</v>
      </c>
      <c r="D623" t="s">
        <v>13</v>
      </c>
      <c r="E623">
        <v>49</v>
      </c>
      <c r="F623" t="str" cm="1">
        <f t="array" ref="F623">_xlfn.IFS(E623&lt;=35, "18-35", E623&lt;=50, "36-50", E623&lt;=65, "51-65", TRUE, "Over 65")</f>
        <v>36-50</v>
      </c>
      <c r="G623" t="s">
        <v>11</v>
      </c>
      <c r="H623">
        <v>3</v>
      </c>
      <c r="I623" s="2">
        <v>25</v>
      </c>
      <c r="J623" s="2">
        <v>75</v>
      </c>
    </row>
    <row r="624" spans="1:10" x14ac:dyDescent="0.35">
      <c r="A624">
        <v>623</v>
      </c>
      <c r="B624" s="1">
        <v>44995</v>
      </c>
      <c r="C624" t="s">
        <v>636</v>
      </c>
      <c r="D624" t="s">
        <v>10</v>
      </c>
      <c r="E624">
        <v>34</v>
      </c>
      <c r="F624" t="str" cm="1">
        <f t="array" ref="F624">_xlfn.IFS(E624&lt;=35, "18-35", E624&lt;=50, "36-50", E624&lt;=65, "51-65", TRUE, "Over 65")</f>
        <v>18-35</v>
      </c>
      <c r="G624" t="s">
        <v>14</v>
      </c>
      <c r="H624">
        <v>3</v>
      </c>
      <c r="I624" s="2">
        <v>50</v>
      </c>
      <c r="J624" s="2">
        <v>150</v>
      </c>
    </row>
    <row r="625" spans="1:10" x14ac:dyDescent="0.35">
      <c r="A625">
        <v>624</v>
      </c>
      <c r="B625" s="1">
        <v>45164</v>
      </c>
      <c r="C625" t="s">
        <v>637</v>
      </c>
      <c r="D625" t="s">
        <v>13</v>
      </c>
      <c r="E625">
        <v>34</v>
      </c>
      <c r="F625" t="str" cm="1">
        <f t="array" ref="F625">_xlfn.IFS(E625&lt;=35, "18-35", E625&lt;=50, "36-50", E625&lt;=65, "51-65", TRUE, "Over 65")</f>
        <v>18-35</v>
      </c>
      <c r="G625" t="s">
        <v>11</v>
      </c>
      <c r="H625">
        <v>3</v>
      </c>
      <c r="I625" s="2">
        <v>300</v>
      </c>
      <c r="J625" s="2">
        <v>900</v>
      </c>
    </row>
    <row r="626" spans="1:10" x14ac:dyDescent="0.35">
      <c r="A626">
        <v>625</v>
      </c>
      <c r="B626" s="1">
        <v>45268</v>
      </c>
      <c r="C626" t="s">
        <v>638</v>
      </c>
      <c r="D626" t="s">
        <v>10</v>
      </c>
      <c r="E626">
        <v>31</v>
      </c>
      <c r="F626" t="str" cm="1">
        <f t="array" ref="F626">_xlfn.IFS(E626&lt;=35, "18-35", E626&lt;=50, "36-50", E626&lt;=65, "51-65", TRUE, "Over 65")</f>
        <v>18-35</v>
      </c>
      <c r="G626" t="s">
        <v>14</v>
      </c>
      <c r="H626">
        <v>1</v>
      </c>
      <c r="I626" s="2">
        <v>300</v>
      </c>
      <c r="J626" s="2">
        <v>300</v>
      </c>
    </row>
    <row r="627" spans="1:10" x14ac:dyDescent="0.35">
      <c r="A627">
        <v>626</v>
      </c>
      <c r="B627" s="1">
        <v>45198</v>
      </c>
      <c r="C627" t="s">
        <v>639</v>
      </c>
      <c r="D627" t="s">
        <v>13</v>
      </c>
      <c r="E627">
        <v>26</v>
      </c>
      <c r="F627" t="str" cm="1">
        <f t="array" ref="F627">_xlfn.IFS(E627&lt;=35, "18-35", E627&lt;=50, "36-50", E627&lt;=65, "51-65", TRUE, "Over 65")</f>
        <v>18-35</v>
      </c>
      <c r="G627" t="s">
        <v>14</v>
      </c>
      <c r="H627">
        <v>4</v>
      </c>
      <c r="I627" s="2">
        <v>500</v>
      </c>
      <c r="J627" s="2">
        <v>2000</v>
      </c>
    </row>
    <row r="628" spans="1:10" x14ac:dyDescent="0.35">
      <c r="A628">
        <v>627</v>
      </c>
      <c r="B628" s="1">
        <v>45213</v>
      </c>
      <c r="C628" t="s">
        <v>640</v>
      </c>
      <c r="D628" t="s">
        <v>10</v>
      </c>
      <c r="E628">
        <v>57</v>
      </c>
      <c r="F628" t="str" cm="1">
        <f t="array" ref="F628">_xlfn.IFS(E628&lt;=35, "18-35", E628&lt;=50, "36-50", E628&lt;=65, "51-65", TRUE, "Over 65")</f>
        <v>51-65</v>
      </c>
      <c r="G628" t="s">
        <v>14</v>
      </c>
      <c r="H628">
        <v>1</v>
      </c>
      <c r="I628" s="2">
        <v>50</v>
      </c>
      <c r="J628" s="2">
        <v>50</v>
      </c>
    </row>
    <row r="629" spans="1:10" x14ac:dyDescent="0.35">
      <c r="A629">
        <v>628</v>
      </c>
      <c r="B629" s="1">
        <v>45231</v>
      </c>
      <c r="C629" t="s">
        <v>641</v>
      </c>
      <c r="D629" t="s">
        <v>13</v>
      </c>
      <c r="E629">
        <v>19</v>
      </c>
      <c r="F629" t="str" cm="1">
        <f t="array" ref="F629">_xlfn.IFS(E629&lt;=35, "18-35", E629&lt;=50, "36-50", E629&lt;=65, "51-65", TRUE, "Over 65")</f>
        <v>18-35</v>
      </c>
      <c r="G629" t="s">
        <v>11</v>
      </c>
      <c r="H629">
        <v>4</v>
      </c>
      <c r="I629" s="2">
        <v>50</v>
      </c>
      <c r="J629" s="2">
        <v>200</v>
      </c>
    </row>
    <row r="630" spans="1:10" x14ac:dyDescent="0.35">
      <c r="A630">
        <v>629</v>
      </c>
      <c r="B630" s="1">
        <v>45089</v>
      </c>
      <c r="C630" t="s">
        <v>642</v>
      </c>
      <c r="D630" t="s">
        <v>10</v>
      </c>
      <c r="E630">
        <v>62</v>
      </c>
      <c r="F630" t="str" cm="1">
        <f t="array" ref="F630">_xlfn.IFS(E630&lt;=35, "18-35", E630&lt;=50, "36-50", E630&lt;=65, "51-65", TRUE, "Over 65")</f>
        <v>51-65</v>
      </c>
      <c r="G630" t="s">
        <v>16</v>
      </c>
      <c r="H630">
        <v>2</v>
      </c>
      <c r="I630" s="2">
        <v>25</v>
      </c>
      <c r="J630" s="2">
        <v>50</v>
      </c>
    </row>
    <row r="631" spans="1:10" x14ac:dyDescent="0.35">
      <c r="A631">
        <v>630</v>
      </c>
      <c r="B631" s="1">
        <v>45153</v>
      </c>
      <c r="C631" t="s">
        <v>643</v>
      </c>
      <c r="D631" t="s">
        <v>10</v>
      </c>
      <c r="E631">
        <v>42</v>
      </c>
      <c r="F631" t="str" cm="1">
        <f t="array" ref="F631">_xlfn.IFS(E631&lt;=35, "18-35", E631&lt;=50, "36-50", E631&lt;=65, "51-65", TRUE, "Over 65")</f>
        <v>36-50</v>
      </c>
      <c r="G631" t="s">
        <v>14</v>
      </c>
      <c r="H631">
        <v>2</v>
      </c>
      <c r="I631" s="2">
        <v>50</v>
      </c>
      <c r="J631" s="2">
        <v>100</v>
      </c>
    </row>
    <row r="632" spans="1:10" x14ac:dyDescent="0.35">
      <c r="A632">
        <v>631</v>
      </c>
      <c r="B632" s="1">
        <v>45240</v>
      </c>
      <c r="C632" t="s">
        <v>644</v>
      </c>
      <c r="D632" t="s">
        <v>10</v>
      </c>
      <c r="E632">
        <v>56</v>
      </c>
      <c r="F632" t="str" cm="1">
        <f t="array" ref="F632">_xlfn.IFS(E632&lt;=35, "18-35", E632&lt;=50, "36-50", E632&lt;=65, "51-65", TRUE, "Over 65")</f>
        <v>51-65</v>
      </c>
      <c r="G632" t="s">
        <v>16</v>
      </c>
      <c r="H632">
        <v>3</v>
      </c>
      <c r="I632" s="2">
        <v>30</v>
      </c>
      <c r="J632" s="2">
        <v>90</v>
      </c>
    </row>
    <row r="633" spans="1:10" x14ac:dyDescent="0.35">
      <c r="A633">
        <v>632</v>
      </c>
      <c r="B633" s="1">
        <v>45185</v>
      </c>
      <c r="C633" t="s">
        <v>645</v>
      </c>
      <c r="D633" t="s">
        <v>13</v>
      </c>
      <c r="E633">
        <v>26</v>
      </c>
      <c r="F633" t="str" cm="1">
        <f t="array" ref="F633">_xlfn.IFS(E633&lt;=35, "18-35", E633&lt;=50, "36-50", E633&lt;=65, "51-65", TRUE, "Over 65")</f>
        <v>18-35</v>
      </c>
      <c r="G633" t="s">
        <v>16</v>
      </c>
      <c r="H633">
        <v>4</v>
      </c>
      <c r="I633" s="2">
        <v>25</v>
      </c>
      <c r="J633" s="2">
        <v>100</v>
      </c>
    </row>
    <row r="634" spans="1:10" x14ac:dyDescent="0.35">
      <c r="A634">
        <v>633</v>
      </c>
      <c r="B634" s="1">
        <v>45145</v>
      </c>
      <c r="C634" t="s">
        <v>646</v>
      </c>
      <c r="D634" t="s">
        <v>10</v>
      </c>
      <c r="E634">
        <v>39</v>
      </c>
      <c r="F634" t="str" cm="1">
        <f t="array" ref="F634">_xlfn.IFS(E634&lt;=35, "18-35", E634&lt;=50, "36-50", E634&lt;=65, "51-65", TRUE, "Over 65")</f>
        <v>36-50</v>
      </c>
      <c r="G634" t="s">
        <v>11</v>
      </c>
      <c r="H634">
        <v>4</v>
      </c>
      <c r="I634" s="2">
        <v>30</v>
      </c>
      <c r="J634" s="2">
        <v>120</v>
      </c>
    </row>
    <row r="635" spans="1:10" x14ac:dyDescent="0.35">
      <c r="A635">
        <v>634</v>
      </c>
      <c r="B635" s="1">
        <v>45207</v>
      </c>
      <c r="C635" t="s">
        <v>647</v>
      </c>
      <c r="D635" t="s">
        <v>10</v>
      </c>
      <c r="E635">
        <v>60</v>
      </c>
      <c r="F635" t="str" cm="1">
        <f t="array" ref="F635">_xlfn.IFS(E635&lt;=35, "18-35", E635&lt;=50, "36-50", E635&lt;=65, "51-65", TRUE, "Over 65")</f>
        <v>51-65</v>
      </c>
      <c r="G635" t="s">
        <v>16</v>
      </c>
      <c r="H635">
        <v>4</v>
      </c>
      <c r="I635" s="2">
        <v>500</v>
      </c>
      <c r="J635" s="2">
        <v>2000</v>
      </c>
    </row>
    <row r="636" spans="1:10" x14ac:dyDescent="0.35">
      <c r="A636">
        <v>635</v>
      </c>
      <c r="B636" s="1">
        <v>45155</v>
      </c>
      <c r="C636" t="s">
        <v>648</v>
      </c>
      <c r="D636" t="s">
        <v>13</v>
      </c>
      <c r="E636">
        <v>63</v>
      </c>
      <c r="F636" t="str" cm="1">
        <f t="array" ref="F636">_xlfn.IFS(E636&lt;=35, "18-35", E636&lt;=50, "36-50", E636&lt;=65, "51-65", TRUE, "Over 65")</f>
        <v>51-65</v>
      </c>
      <c r="G636" t="s">
        <v>16</v>
      </c>
      <c r="H636">
        <v>3</v>
      </c>
      <c r="I636" s="2">
        <v>300</v>
      </c>
      <c r="J636" s="2">
        <v>900</v>
      </c>
    </row>
    <row r="637" spans="1:10" x14ac:dyDescent="0.35">
      <c r="A637">
        <v>636</v>
      </c>
      <c r="B637" s="1">
        <v>45008</v>
      </c>
      <c r="C637" t="s">
        <v>649</v>
      </c>
      <c r="D637" t="s">
        <v>13</v>
      </c>
      <c r="E637">
        <v>21</v>
      </c>
      <c r="F637" t="str" cm="1">
        <f t="array" ref="F637">_xlfn.IFS(E637&lt;=35, "18-35", E637&lt;=50, "36-50", E637&lt;=65, "51-65", TRUE, "Over 65")</f>
        <v>18-35</v>
      </c>
      <c r="G637" t="s">
        <v>11</v>
      </c>
      <c r="H637">
        <v>3</v>
      </c>
      <c r="I637" s="2">
        <v>500</v>
      </c>
      <c r="J637" s="2">
        <v>1500</v>
      </c>
    </row>
    <row r="638" spans="1:10" x14ac:dyDescent="0.35">
      <c r="A638">
        <v>637</v>
      </c>
      <c r="B638" s="1">
        <v>45170</v>
      </c>
      <c r="C638" t="s">
        <v>650</v>
      </c>
      <c r="D638" t="s">
        <v>10</v>
      </c>
      <c r="E638">
        <v>43</v>
      </c>
      <c r="F638" t="str" cm="1">
        <f t="array" ref="F638">_xlfn.IFS(E638&lt;=35, "18-35", E638&lt;=50, "36-50", E638&lt;=65, "51-65", TRUE, "Over 65")</f>
        <v>36-50</v>
      </c>
      <c r="G638" t="s">
        <v>14</v>
      </c>
      <c r="H638">
        <v>2</v>
      </c>
      <c r="I638" s="2">
        <v>300</v>
      </c>
      <c r="J638" s="2">
        <v>600</v>
      </c>
    </row>
    <row r="639" spans="1:10" x14ac:dyDescent="0.35">
      <c r="A639">
        <v>638</v>
      </c>
      <c r="B639" s="1">
        <v>45157</v>
      </c>
      <c r="C639" t="s">
        <v>651</v>
      </c>
      <c r="D639" t="s">
        <v>10</v>
      </c>
      <c r="E639">
        <v>46</v>
      </c>
      <c r="F639" t="str" cm="1">
        <f t="array" ref="F639">_xlfn.IFS(E639&lt;=35, "18-35", E639&lt;=50, "36-50", E639&lt;=65, "51-65", TRUE, "Over 65")</f>
        <v>36-50</v>
      </c>
      <c r="G639" t="s">
        <v>16</v>
      </c>
      <c r="H639">
        <v>1</v>
      </c>
      <c r="I639" s="2">
        <v>500</v>
      </c>
      <c r="J639" s="2">
        <v>500</v>
      </c>
    </row>
    <row r="640" spans="1:10" x14ac:dyDescent="0.35">
      <c r="A640">
        <v>639</v>
      </c>
      <c r="B640" s="1">
        <v>45059</v>
      </c>
      <c r="C640" t="s">
        <v>652</v>
      </c>
      <c r="D640" t="s">
        <v>13</v>
      </c>
      <c r="E640">
        <v>62</v>
      </c>
      <c r="F640" t="str" cm="1">
        <f t="array" ref="F640">_xlfn.IFS(E640&lt;=35, "18-35", E640&lt;=50, "36-50", E640&lt;=65, "51-65", TRUE, "Over 65")</f>
        <v>51-65</v>
      </c>
      <c r="G640" t="s">
        <v>11</v>
      </c>
      <c r="H640">
        <v>4</v>
      </c>
      <c r="I640" s="2">
        <v>50</v>
      </c>
      <c r="J640" s="2">
        <v>200</v>
      </c>
    </row>
    <row r="641" spans="1:10" x14ac:dyDescent="0.35">
      <c r="A641">
        <v>640</v>
      </c>
      <c r="B641" s="1">
        <v>45053</v>
      </c>
      <c r="C641" t="s">
        <v>653</v>
      </c>
      <c r="D641" t="s">
        <v>13</v>
      </c>
      <c r="E641">
        <v>51</v>
      </c>
      <c r="F641" t="str" cm="1">
        <f t="array" ref="F641">_xlfn.IFS(E641&lt;=35, "18-35", E641&lt;=50, "36-50", E641&lt;=65, "51-65", TRUE, "Over 65")</f>
        <v>51-65</v>
      </c>
      <c r="G641" t="s">
        <v>16</v>
      </c>
      <c r="H641">
        <v>4</v>
      </c>
      <c r="I641" s="2">
        <v>30</v>
      </c>
      <c r="J641" s="2">
        <v>120</v>
      </c>
    </row>
    <row r="642" spans="1:10" x14ac:dyDescent="0.35">
      <c r="A642">
        <v>641</v>
      </c>
      <c r="B642" s="1">
        <v>45253</v>
      </c>
      <c r="C642" t="s">
        <v>654</v>
      </c>
      <c r="D642" t="s">
        <v>13</v>
      </c>
      <c r="E642">
        <v>40</v>
      </c>
      <c r="F642" t="str" cm="1">
        <f t="array" ref="F642">_xlfn.IFS(E642&lt;=35, "18-35", E642&lt;=50, "36-50", E642&lt;=65, "51-65", TRUE, "Over 65")</f>
        <v>36-50</v>
      </c>
      <c r="G642" t="s">
        <v>16</v>
      </c>
      <c r="H642">
        <v>1</v>
      </c>
      <c r="I642" s="2">
        <v>300</v>
      </c>
      <c r="J642" s="2">
        <v>300</v>
      </c>
    </row>
    <row r="643" spans="1:10" x14ac:dyDescent="0.35">
      <c r="A643">
        <v>642</v>
      </c>
      <c r="B643" s="1">
        <v>45068</v>
      </c>
      <c r="C643" t="s">
        <v>655</v>
      </c>
      <c r="D643" t="s">
        <v>13</v>
      </c>
      <c r="E643">
        <v>54</v>
      </c>
      <c r="F643" t="str" cm="1">
        <f t="array" ref="F643">_xlfn.IFS(E643&lt;=35, "18-35", E643&lt;=50, "36-50", E643&lt;=65, "51-65", TRUE, "Over 65")</f>
        <v>51-65</v>
      </c>
      <c r="G643" t="s">
        <v>14</v>
      </c>
      <c r="H643">
        <v>4</v>
      </c>
      <c r="I643" s="2">
        <v>25</v>
      </c>
      <c r="J643" s="2">
        <v>100</v>
      </c>
    </row>
    <row r="644" spans="1:10" x14ac:dyDescent="0.35">
      <c r="A644">
        <v>643</v>
      </c>
      <c r="B644" s="1">
        <v>45193</v>
      </c>
      <c r="C644" t="s">
        <v>656</v>
      </c>
      <c r="D644" t="s">
        <v>13</v>
      </c>
      <c r="E644">
        <v>28</v>
      </c>
      <c r="F644" t="str" cm="1">
        <f t="array" ref="F644">_xlfn.IFS(E644&lt;=35, "18-35", E644&lt;=50, "36-50", E644&lt;=65, "51-65", TRUE, "Over 65")</f>
        <v>18-35</v>
      </c>
      <c r="G644" t="s">
        <v>16</v>
      </c>
      <c r="H644">
        <v>3</v>
      </c>
      <c r="I644" s="2">
        <v>30</v>
      </c>
      <c r="J644" s="2">
        <v>90</v>
      </c>
    </row>
    <row r="645" spans="1:10" x14ac:dyDescent="0.35">
      <c r="A645">
        <v>644</v>
      </c>
      <c r="B645" s="1">
        <v>45175</v>
      </c>
      <c r="C645" t="s">
        <v>657</v>
      </c>
      <c r="D645" t="s">
        <v>10</v>
      </c>
      <c r="E645">
        <v>23</v>
      </c>
      <c r="F645" t="str" cm="1">
        <f t="array" ref="F645">_xlfn.IFS(E645&lt;=35, "18-35", E645&lt;=50, "36-50", E645&lt;=65, "51-65", TRUE, "Over 65")</f>
        <v>18-35</v>
      </c>
      <c r="G645" t="s">
        <v>11</v>
      </c>
      <c r="H645">
        <v>3</v>
      </c>
      <c r="I645" s="2">
        <v>25</v>
      </c>
      <c r="J645" s="2">
        <v>75</v>
      </c>
    </row>
    <row r="646" spans="1:10" x14ac:dyDescent="0.35">
      <c r="A646">
        <v>645</v>
      </c>
      <c r="B646" s="1">
        <v>45247</v>
      </c>
      <c r="C646" t="s">
        <v>658</v>
      </c>
      <c r="D646" t="s">
        <v>13</v>
      </c>
      <c r="E646">
        <v>35</v>
      </c>
      <c r="F646" t="str" cm="1">
        <f t="array" ref="F646">_xlfn.IFS(E646&lt;=35, "18-35", E646&lt;=50, "36-50", E646&lt;=65, "51-65", TRUE, "Over 65")</f>
        <v>18-35</v>
      </c>
      <c r="G646" t="s">
        <v>16</v>
      </c>
      <c r="H646">
        <v>4</v>
      </c>
      <c r="I646" s="2">
        <v>30</v>
      </c>
      <c r="J646" s="2">
        <v>120</v>
      </c>
    </row>
    <row r="647" spans="1:10" x14ac:dyDescent="0.35">
      <c r="A647">
        <v>646</v>
      </c>
      <c r="B647" s="1">
        <v>45049</v>
      </c>
      <c r="C647" t="s">
        <v>659</v>
      </c>
      <c r="D647" t="s">
        <v>10</v>
      </c>
      <c r="E647">
        <v>38</v>
      </c>
      <c r="F647" t="str" cm="1">
        <f t="array" ref="F647">_xlfn.IFS(E647&lt;=35, "18-35", E647&lt;=50, "36-50", E647&lt;=65, "51-65", TRUE, "Over 65")</f>
        <v>36-50</v>
      </c>
      <c r="G647" t="s">
        <v>14</v>
      </c>
      <c r="H647">
        <v>3</v>
      </c>
      <c r="I647" s="2">
        <v>30</v>
      </c>
      <c r="J647" s="2">
        <v>90</v>
      </c>
    </row>
    <row r="648" spans="1:10" x14ac:dyDescent="0.35">
      <c r="A648">
        <v>647</v>
      </c>
      <c r="B648" s="1">
        <v>45067</v>
      </c>
      <c r="C648" t="s">
        <v>660</v>
      </c>
      <c r="D648" t="s">
        <v>10</v>
      </c>
      <c r="E648">
        <v>59</v>
      </c>
      <c r="F648" t="str" cm="1">
        <f t="array" ref="F648">_xlfn.IFS(E648&lt;=35, "18-35", E648&lt;=50, "36-50", E648&lt;=65, "51-65", TRUE, "Over 65")</f>
        <v>51-65</v>
      </c>
      <c r="G648" t="s">
        <v>14</v>
      </c>
      <c r="H648">
        <v>3</v>
      </c>
      <c r="I648" s="2">
        <v>500</v>
      </c>
      <c r="J648" s="2">
        <v>1500</v>
      </c>
    </row>
    <row r="649" spans="1:10" x14ac:dyDescent="0.35">
      <c r="A649">
        <v>648</v>
      </c>
      <c r="B649" s="1">
        <v>45152</v>
      </c>
      <c r="C649" t="s">
        <v>661</v>
      </c>
      <c r="D649" t="s">
        <v>10</v>
      </c>
      <c r="E649">
        <v>53</v>
      </c>
      <c r="F649" t="str" cm="1">
        <f t="array" ref="F649">_xlfn.IFS(E649&lt;=35, "18-35", E649&lt;=50, "36-50", E649&lt;=65, "51-65", TRUE, "Over 65")</f>
        <v>51-65</v>
      </c>
      <c r="G649" t="s">
        <v>11</v>
      </c>
      <c r="H649">
        <v>4</v>
      </c>
      <c r="I649" s="2">
        <v>300</v>
      </c>
      <c r="J649" s="2">
        <v>1200</v>
      </c>
    </row>
    <row r="650" spans="1:10" x14ac:dyDescent="0.35">
      <c r="A650">
        <v>649</v>
      </c>
      <c r="B650" s="1">
        <v>44966</v>
      </c>
      <c r="C650" t="s">
        <v>662</v>
      </c>
      <c r="D650" t="s">
        <v>13</v>
      </c>
      <c r="E650">
        <v>58</v>
      </c>
      <c r="F650" t="str" cm="1">
        <f t="array" ref="F650">_xlfn.IFS(E650&lt;=35, "18-35", E650&lt;=50, "36-50", E650&lt;=65, "51-65", TRUE, "Over 65")</f>
        <v>51-65</v>
      </c>
      <c r="G650" t="s">
        <v>14</v>
      </c>
      <c r="H650">
        <v>2</v>
      </c>
      <c r="I650" s="2">
        <v>300</v>
      </c>
      <c r="J650" s="2">
        <v>600</v>
      </c>
    </row>
    <row r="651" spans="1:10" x14ac:dyDescent="0.35">
      <c r="A651">
        <v>650</v>
      </c>
      <c r="B651" s="1">
        <v>45292</v>
      </c>
      <c r="C651" t="s">
        <v>663</v>
      </c>
      <c r="D651" t="s">
        <v>10</v>
      </c>
      <c r="E651">
        <v>55</v>
      </c>
      <c r="F651" t="str" cm="1">
        <f t="array" ref="F651">_xlfn.IFS(E651&lt;=35, "18-35", E651&lt;=50, "36-50", E651&lt;=65, "51-65", TRUE, "Over 65")</f>
        <v>51-65</v>
      </c>
      <c r="G651" t="s">
        <v>16</v>
      </c>
      <c r="H651">
        <v>1</v>
      </c>
      <c r="I651" s="2">
        <v>30</v>
      </c>
      <c r="J651" s="2">
        <v>30</v>
      </c>
    </row>
    <row r="652" spans="1:10" x14ac:dyDescent="0.35">
      <c r="A652">
        <v>651</v>
      </c>
      <c r="B652" s="1">
        <v>45073</v>
      </c>
      <c r="C652" t="s">
        <v>664</v>
      </c>
      <c r="D652" t="s">
        <v>10</v>
      </c>
      <c r="E652">
        <v>51</v>
      </c>
      <c r="F652" t="str" cm="1">
        <f t="array" ref="F652">_xlfn.IFS(E652&lt;=35, "18-35", E652&lt;=50, "36-50", E652&lt;=65, "51-65", TRUE, "Over 65")</f>
        <v>51-65</v>
      </c>
      <c r="G652" t="s">
        <v>14</v>
      </c>
      <c r="H652">
        <v>3</v>
      </c>
      <c r="I652" s="2">
        <v>50</v>
      </c>
      <c r="J652" s="2">
        <v>150</v>
      </c>
    </row>
    <row r="653" spans="1:10" x14ac:dyDescent="0.35">
      <c r="A653">
        <v>652</v>
      </c>
      <c r="B653" s="1">
        <v>45047</v>
      </c>
      <c r="C653" t="s">
        <v>665</v>
      </c>
      <c r="D653" t="s">
        <v>13</v>
      </c>
      <c r="E653">
        <v>34</v>
      </c>
      <c r="F653" t="str" cm="1">
        <f t="array" ref="F653">_xlfn.IFS(E653&lt;=35, "18-35", E653&lt;=50, "36-50", E653&lt;=65, "51-65", TRUE, "Over 65")</f>
        <v>18-35</v>
      </c>
      <c r="G653" t="s">
        <v>11</v>
      </c>
      <c r="H653">
        <v>2</v>
      </c>
      <c r="I653" s="2">
        <v>50</v>
      </c>
      <c r="J653" s="2">
        <v>100</v>
      </c>
    </row>
    <row r="654" spans="1:10" x14ac:dyDescent="0.35">
      <c r="A654">
        <v>653</v>
      </c>
      <c r="B654" s="1">
        <v>45066</v>
      </c>
      <c r="C654" t="s">
        <v>666</v>
      </c>
      <c r="D654" t="s">
        <v>10</v>
      </c>
      <c r="E654">
        <v>54</v>
      </c>
      <c r="F654" t="str" cm="1">
        <f t="array" ref="F654">_xlfn.IFS(E654&lt;=35, "18-35", E654&lt;=50, "36-50", E654&lt;=65, "51-65", TRUE, "Over 65")</f>
        <v>51-65</v>
      </c>
      <c r="G654" t="s">
        <v>14</v>
      </c>
      <c r="H654">
        <v>3</v>
      </c>
      <c r="I654" s="2">
        <v>25</v>
      </c>
      <c r="J654" s="2">
        <v>75</v>
      </c>
    </row>
    <row r="655" spans="1:10" x14ac:dyDescent="0.35">
      <c r="A655">
        <v>654</v>
      </c>
      <c r="B655" s="1">
        <v>45098</v>
      </c>
      <c r="C655" t="s">
        <v>667</v>
      </c>
      <c r="D655" t="s">
        <v>10</v>
      </c>
      <c r="E655">
        <v>42</v>
      </c>
      <c r="F655" t="str" cm="1">
        <f t="array" ref="F655">_xlfn.IFS(E655&lt;=35, "18-35", E655&lt;=50, "36-50", E655&lt;=65, "51-65", TRUE, "Over 65")</f>
        <v>36-50</v>
      </c>
      <c r="G655" t="s">
        <v>14</v>
      </c>
      <c r="H655">
        <v>3</v>
      </c>
      <c r="I655" s="2">
        <v>25</v>
      </c>
      <c r="J655" s="2">
        <v>75</v>
      </c>
    </row>
    <row r="656" spans="1:10" x14ac:dyDescent="0.35">
      <c r="A656">
        <v>655</v>
      </c>
      <c r="B656" s="1">
        <v>45090</v>
      </c>
      <c r="C656" t="s">
        <v>668</v>
      </c>
      <c r="D656" t="s">
        <v>13</v>
      </c>
      <c r="E656">
        <v>55</v>
      </c>
      <c r="F656" t="str" cm="1">
        <f t="array" ref="F656">_xlfn.IFS(E656&lt;=35, "18-35", E656&lt;=50, "36-50", E656&lt;=65, "51-65", TRUE, "Over 65")</f>
        <v>51-65</v>
      </c>
      <c r="G656" t="s">
        <v>14</v>
      </c>
      <c r="H656">
        <v>1</v>
      </c>
      <c r="I656" s="2">
        <v>500</v>
      </c>
      <c r="J656" s="2">
        <v>500</v>
      </c>
    </row>
    <row r="657" spans="1:10" x14ac:dyDescent="0.35">
      <c r="A657">
        <v>656</v>
      </c>
      <c r="B657" s="1">
        <v>45203</v>
      </c>
      <c r="C657" t="s">
        <v>669</v>
      </c>
      <c r="D657" t="s">
        <v>10</v>
      </c>
      <c r="E657">
        <v>29</v>
      </c>
      <c r="F657" t="str" cm="1">
        <f t="array" ref="F657">_xlfn.IFS(E657&lt;=35, "18-35", E657&lt;=50, "36-50", E657&lt;=65, "51-65", TRUE, "Over 65")</f>
        <v>18-35</v>
      </c>
      <c r="G657" t="s">
        <v>11</v>
      </c>
      <c r="H657">
        <v>3</v>
      </c>
      <c r="I657" s="2">
        <v>30</v>
      </c>
      <c r="J657" s="2">
        <v>90</v>
      </c>
    </row>
    <row r="658" spans="1:10" x14ac:dyDescent="0.35">
      <c r="A658">
        <v>657</v>
      </c>
      <c r="B658" s="1">
        <v>44968</v>
      </c>
      <c r="C658" t="s">
        <v>670</v>
      </c>
      <c r="D658" t="s">
        <v>10</v>
      </c>
      <c r="E658">
        <v>40</v>
      </c>
      <c r="F658" t="str" cm="1">
        <f t="array" ref="F658">_xlfn.IFS(E658&lt;=35, "18-35", E658&lt;=50, "36-50", E658&lt;=65, "51-65", TRUE, "Over 65")</f>
        <v>36-50</v>
      </c>
      <c r="G658" t="s">
        <v>14</v>
      </c>
      <c r="H658">
        <v>1</v>
      </c>
      <c r="I658" s="2">
        <v>25</v>
      </c>
      <c r="J658" s="2">
        <v>25</v>
      </c>
    </row>
    <row r="659" spans="1:10" x14ac:dyDescent="0.35">
      <c r="A659">
        <v>658</v>
      </c>
      <c r="B659" s="1">
        <v>44997</v>
      </c>
      <c r="C659" t="s">
        <v>671</v>
      </c>
      <c r="D659" t="s">
        <v>10</v>
      </c>
      <c r="E659">
        <v>59</v>
      </c>
      <c r="F659" t="str" cm="1">
        <f t="array" ref="F659">_xlfn.IFS(E659&lt;=35, "18-35", E659&lt;=50, "36-50", E659&lt;=65, "51-65", TRUE, "Over 65")</f>
        <v>51-65</v>
      </c>
      <c r="G659" t="s">
        <v>14</v>
      </c>
      <c r="H659">
        <v>1</v>
      </c>
      <c r="I659" s="2">
        <v>25</v>
      </c>
      <c r="J659" s="2">
        <v>25</v>
      </c>
    </row>
    <row r="660" spans="1:10" x14ac:dyDescent="0.35">
      <c r="A660">
        <v>659</v>
      </c>
      <c r="B660" s="1">
        <v>45004</v>
      </c>
      <c r="C660" t="s">
        <v>672</v>
      </c>
      <c r="D660" t="s">
        <v>13</v>
      </c>
      <c r="E660">
        <v>39</v>
      </c>
      <c r="F660" t="str" cm="1">
        <f t="array" ref="F660">_xlfn.IFS(E660&lt;=35, "18-35", E660&lt;=50, "36-50", E660&lt;=65, "51-65", TRUE, "Over 65")</f>
        <v>36-50</v>
      </c>
      <c r="G660" t="s">
        <v>16</v>
      </c>
      <c r="H660">
        <v>1</v>
      </c>
      <c r="I660" s="2">
        <v>30</v>
      </c>
      <c r="J660" s="2">
        <v>30</v>
      </c>
    </row>
    <row r="661" spans="1:10" x14ac:dyDescent="0.35">
      <c r="A661">
        <v>660</v>
      </c>
      <c r="B661" s="1">
        <v>45045</v>
      </c>
      <c r="C661" t="s">
        <v>673</v>
      </c>
      <c r="D661" t="s">
        <v>13</v>
      </c>
      <c r="E661">
        <v>38</v>
      </c>
      <c r="F661" t="str" cm="1">
        <f t="array" ref="F661">_xlfn.IFS(E661&lt;=35, "18-35", E661&lt;=50, "36-50", E661&lt;=65, "51-65", TRUE, "Over 65")</f>
        <v>36-50</v>
      </c>
      <c r="G661" t="s">
        <v>11</v>
      </c>
      <c r="H661">
        <v>2</v>
      </c>
      <c r="I661" s="2">
        <v>500</v>
      </c>
      <c r="J661" s="2">
        <v>1000</v>
      </c>
    </row>
    <row r="662" spans="1:10" x14ac:dyDescent="0.35">
      <c r="A662">
        <v>661</v>
      </c>
      <c r="B662" s="1">
        <v>45123</v>
      </c>
      <c r="C662" t="s">
        <v>674</v>
      </c>
      <c r="D662" t="s">
        <v>13</v>
      </c>
      <c r="E662">
        <v>44</v>
      </c>
      <c r="F662" t="str" cm="1">
        <f t="array" ref="F662">_xlfn.IFS(E662&lt;=35, "18-35", E662&lt;=50, "36-50", E662&lt;=65, "51-65", TRUE, "Over 65")</f>
        <v>36-50</v>
      </c>
      <c r="G662" t="s">
        <v>14</v>
      </c>
      <c r="H662">
        <v>4</v>
      </c>
      <c r="I662" s="2">
        <v>25</v>
      </c>
      <c r="J662" s="2">
        <v>100</v>
      </c>
    </row>
    <row r="663" spans="1:10" x14ac:dyDescent="0.35">
      <c r="A663">
        <v>662</v>
      </c>
      <c r="B663" s="1">
        <v>45282</v>
      </c>
      <c r="C663" t="s">
        <v>675</v>
      </c>
      <c r="D663" t="s">
        <v>10</v>
      </c>
      <c r="E663">
        <v>48</v>
      </c>
      <c r="F663" t="str" cm="1">
        <f t="array" ref="F663">_xlfn.IFS(E663&lt;=35, "18-35", E663&lt;=50, "36-50", E663&lt;=65, "51-65", TRUE, "Over 65")</f>
        <v>36-50</v>
      </c>
      <c r="G663" t="s">
        <v>11</v>
      </c>
      <c r="H663">
        <v>2</v>
      </c>
      <c r="I663" s="2">
        <v>500</v>
      </c>
      <c r="J663" s="2">
        <v>1000</v>
      </c>
    </row>
    <row r="664" spans="1:10" x14ac:dyDescent="0.35">
      <c r="A664">
        <v>663</v>
      </c>
      <c r="B664" s="1">
        <v>45005</v>
      </c>
      <c r="C664" t="s">
        <v>676</v>
      </c>
      <c r="D664" t="s">
        <v>10</v>
      </c>
      <c r="E664">
        <v>23</v>
      </c>
      <c r="F664" t="str" cm="1">
        <f t="array" ref="F664">_xlfn.IFS(E664&lt;=35, "18-35", E664&lt;=50, "36-50", E664&lt;=65, "51-65", TRUE, "Over 65")</f>
        <v>18-35</v>
      </c>
      <c r="G664" t="s">
        <v>14</v>
      </c>
      <c r="H664">
        <v>4</v>
      </c>
      <c r="I664" s="2">
        <v>300</v>
      </c>
      <c r="J664" s="2">
        <v>1200</v>
      </c>
    </row>
    <row r="665" spans="1:10" x14ac:dyDescent="0.35">
      <c r="A665">
        <v>664</v>
      </c>
      <c r="B665" s="1">
        <v>45288</v>
      </c>
      <c r="C665" t="s">
        <v>677</v>
      </c>
      <c r="D665" t="s">
        <v>13</v>
      </c>
      <c r="E665">
        <v>44</v>
      </c>
      <c r="F665" t="str" cm="1">
        <f t="array" ref="F665">_xlfn.IFS(E665&lt;=35, "18-35", E665&lt;=50, "36-50", E665&lt;=65, "51-65", TRUE, "Over 65")</f>
        <v>36-50</v>
      </c>
      <c r="G665" t="s">
        <v>14</v>
      </c>
      <c r="H665">
        <v>4</v>
      </c>
      <c r="I665" s="2">
        <v>500</v>
      </c>
      <c r="J665" s="2">
        <v>2000</v>
      </c>
    </row>
    <row r="666" spans="1:10" x14ac:dyDescent="0.35">
      <c r="A666">
        <v>665</v>
      </c>
      <c r="B666" s="1">
        <v>45036</v>
      </c>
      <c r="C666" t="s">
        <v>678</v>
      </c>
      <c r="D666" t="s">
        <v>10</v>
      </c>
      <c r="E666">
        <v>57</v>
      </c>
      <c r="F666" t="str" cm="1">
        <f t="array" ref="F666">_xlfn.IFS(E666&lt;=35, "18-35", E666&lt;=50, "36-50", E666&lt;=65, "51-65", TRUE, "Over 65")</f>
        <v>51-65</v>
      </c>
      <c r="G666" t="s">
        <v>14</v>
      </c>
      <c r="H666">
        <v>1</v>
      </c>
      <c r="I666" s="2">
        <v>50</v>
      </c>
      <c r="J666" s="2">
        <v>50</v>
      </c>
    </row>
    <row r="667" spans="1:10" x14ac:dyDescent="0.35">
      <c r="A667">
        <v>666</v>
      </c>
      <c r="B667" s="1">
        <v>44959</v>
      </c>
      <c r="C667" t="s">
        <v>679</v>
      </c>
      <c r="D667" t="s">
        <v>10</v>
      </c>
      <c r="E667">
        <v>51</v>
      </c>
      <c r="F667" t="str" cm="1">
        <f t="array" ref="F667">_xlfn.IFS(E667&lt;=35, "18-35", E667&lt;=50, "36-50", E667&lt;=65, "51-65", TRUE, "Over 65")</f>
        <v>51-65</v>
      </c>
      <c r="G667" t="s">
        <v>16</v>
      </c>
      <c r="H667">
        <v>3</v>
      </c>
      <c r="I667" s="2">
        <v>50</v>
      </c>
      <c r="J667" s="2">
        <v>150</v>
      </c>
    </row>
    <row r="668" spans="1:10" x14ac:dyDescent="0.35">
      <c r="A668">
        <v>667</v>
      </c>
      <c r="B668" s="1">
        <v>45139</v>
      </c>
      <c r="C668" t="s">
        <v>680</v>
      </c>
      <c r="D668" t="s">
        <v>13</v>
      </c>
      <c r="E668">
        <v>29</v>
      </c>
      <c r="F668" t="str" cm="1">
        <f t="array" ref="F668">_xlfn.IFS(E668&lt;=35, "18-35", E668&lt;=50, "36-50", E668&lt;=65, "51-65", TRUE, "Over 65")</f>
        <v>18-35</v>
      </c>
      <c r="G668" t="s">
        <v>16</v>
      </c>
      <c r="H668">
        <v>1</v>
      </c>
      <c r="I668" s="2">
        <v>500</v>
      </c>
      <c r="J668" s="2">
        <v>500</v>
      </c>
    </row>
    <row r="669" spans="1:10" x14ac:dyDescent="0.35">
      <c r="A669">
        <v>668</v>
      </c>
      <c r="B669" s="1">
        <v>45135</v>
      </c>
      <c r="C669" t="s">
        <v>681</v>
      </c>
      <c r="D669" t="s">
        <v>13</v>
      </c>
      <c r="E669">
        <v>62</v>
      </c>
      <c r="F669" t="str" cm="1">
        <f t="array" ref="F669">_xlfn.IFS(E669&lt;=35, "18-35", E669&lt;=50, "36-50", E669&lt;=65, "51-65", TRUE, "Over 65")</f>
        <v>51-65</v>
      </c>
      <c r="G669" t="s">
        <v>16</v>
      </c>
      <c r="H669">
        <v>3</v>
      </c>
      <c r="I669" s="2">
        <v>50</v>
      </c>
      <c r="J669" s="2">
        <v>150</v>
      </c>
    </row>
    <row r="670" spans="1:10" x14ac:dyDescent="0.35">
      <c r="A670">
        <v>669</v>
      </c>
      <c r="B670" s="1">
        <v>45096</v>
      </c>
      <c r="C670" t="s">
        <v>682</v>
      </c>
      <c r="D670" t="s">
        <v>10</v>
      </c>
      <c r="E670">
        <v>24</v>
      </c>
      <c r="F670" t="str" cm="1">
        <f t="array" ref="F670">_xlfn.IFS(E670&lt;=35, "18-35", E670&lt;=50, "36-50", E670&lt;=65, "51-65", TRUE, "Over 65")</f>
        <v>18-35</v>
      </c>
      <c r="G670" t="s">
        <v>11</v>
      </c>
      <c r="H670">
        <v>4</v>
      </c>
      <c r="I670" s="2">
        <v>300</v>
      </c>
      <c r="J670" s="2">
        <v>1200</v>
      </c>
    </row>
    <row r="671" spans="1:10" x14ac:dyDescent="0.35">
      <c r="A671">
        <v>670</v>
      </c>
      <c r="B671" s="1">
        <v>45204</v>
      </c>
      <c r="C671" t="s">
        <v>683</v>
      </c>
      <c r="D671" t="s">
        <v>10</v>
      </c>
      <c r="E671">
        <v>27</v>
      </c>
      <c r="F671" t="str" cm="1">
        <f t="array" ref="F671">_xlfn.IFS(E671&lt;=35, "18-35", E671&lt;=50, "36-50", E671&lt;=65, "51-65", TRUE, "Over 65")</f>
        <v>18-35</v>
      </c>
      <c r="G671" t="s">
        <v>11</v>
      </c>
      <c r="H671">
        <v>1</v>
      </c>
      <c r="I671" s="2">
        <v>30</v>
      </c>
      <c r="J671" s="2">
        <v>30</v>
      </c>
    </row>
    <row r="672" spans="1:10" x14ac:dyDescent="0.35">
      <c r="A672">
        <v>671</v>
      </c>
      <c r="B672" s="1">
        <v>45165</v>
      </c>
      <c r="C672" t="s">
        <v>684</v>
      </c>
      <c r="D672" t="s">
        <v>10</v>
      </c>
      <c r="E672">
        <v>62</v>
      </c>
      <c r="F672" t="str" cm="1">
        <f t="array" ref="F672">_xlfn.IFS(E672&lt;=35, "18-35", E672&lt;=50, "36-50", E672&lt;=65, "51-65", TRUE, "Over 65")</f>
        <v>51-65</v>
      </c>
      <c r="G672" t="s">
        <v>16</v>
      </c>
      <c r="H672">
        <v>3</v>
      </c>
      <c r="I672" s="2">
        <v>50</v>
      </c>
      <c r="J672" s="2">
        <v>150</v>
      </c>
    </row>
    <row r="673" spans="1:10" x14ac:dyDescent="0.35">
      <c r="A673">
        <v>672</v>
      </c>
      <c r="B673" s="1">
        <v>45139</v>
      </c>
      <c r="C673" t="s">
        <v>685</v>
      </c>
      <c r="D673" t="s">
        <v>13</v>
      </c>
      <c r="E673">
        <v>34</v>
      </c>
      <c r="F673" t="str" cm="1">
        <f t="array" ref="F673">_xlfn.IFS(E673&lt;=35, "18-35", E673&lt;=50, "36-50", E673&lt;=65, "51-65", TRUE, "Over 65")</f>
        <v>18-35</v>
      </c>
      <c r="G673" t="s">
        <v>11</v>
      </c>
      <c r="H673">
        <v>2</v>
      </c>
      <c r="I673" s="2">
        <v>50</v>
      </c>
      <c r="J673" s="2">
        <v>100</v>
      </c>
    </row>
    <row r="674" spans="1:10" x14ac:dyDescent="0.35">
      <c r="A674">
        <v>673</v>
      </c>
      <c r="B674" s="1">
        <v>44958</v>
      </c>
      <c r="C674" t="s">
        <v>686</v>
      </c>
      <c r="D674" t="s">
        <v>13</v>
      </c>
      <c r="E674">
        <v>43</v>
      </c>
      <c r="F674" t="str" cm="1">
        <f t="array" ref="F674">_xlfn.IFS(E674&lt;=35, "18-35", E674&lt;=50, "36-50", E674&lt;=65, "51-65", TRUE, "Over 65")</f>
        <v>36-50</v>
      </c>
      <c r="G674" t="s">
        <v>14</v>
      </c>
      <c r="H674">
        <v>3</v>
      </c>
      <c r="I674" s="2">
        <v>500</v>
      </c>
      <c r="J674" s="2">
        <v>1500</v>
      </c>
    </row>
    <row r="675" spans="1:10" x14ac:dyDescent="0.35">
      <c r="A675">
        <v>674</v>
      </c>
      <c r="B675" s="1">
        <v>45032</v>
      </c>
      <c r="C675" t="s">
        <v>687</v>
      </c>
      <c r="D675" t="s">
        <v>13</v>
      </c>
      <c r="E675">
        <v>38</v>
      </c>
      <c r="F675" t="str" cm="1">
        <f t="array" ref="F675">_xlfn.IFS(E675&lt;=35, "18-35", E675&lt;=50, "36-50", E675&lt;=65, "51-65", TRUE, "Over 65")</f>
        <v>36-50</v>
      </c>
      <c r="G675" t="s">
        <v>14</v>
      </c>
      <c r="H675">
        <v>1</v>
      </c>
      <c r="I675" s="2">
        <v>300</v>
      </c>
      <c r="J675" s="2">
        <v>300</v>
      </c>
    </row>
    <row r="676" spans="1:10" x14ac:dyDescent="0.35">
      <c r="A676">
        <v>675</v>
      </c>
      <c r="B676" s="1">
        <v>45142</v>
      </c>
      <c r="C676" t="s">
        <v>688</v>
      </c>
      <c r="D676" t="s">
        <v>13</v>
      </c>
      <c r="E676">
        <v>45</v>
      </c>
      <c r="F676" t="str" cm="1">
        <f t="array" ref="F676">_xlfn.IFS(E676&lt;=35, "18-35", E676&lt;=50, "36-50", E676&lt;=65, "51-65", TRUE, "Over 65")</f>
        <v>36-50</v>
      </c>
      <c r="G676" t="s">
        <v>14</v>
      </c>
      <c r="H676">
        <v>2</v>
      </c>
      <c r="I676" s="2">
        <v>30</v>
      </c>
      <c r="J676" s="2">
        <v>60</v>
      </c>
    </row>
    <row r="677" spans="1:10" x14ac:dyDescent="0.35">
      <c r="A677">
        <v>676</v>
      </c>
      <c r="B677" s="1">
        <v>45126</v>
      </c>
      <c r="C677" t="s">
        <v>689</v>
      </c>
      <c r="D677" t="s">
        <v>10</v>
      </c>
      <c r="E677">
        <v>63</v>
      </c>
      <c r="F677" t="str" cm="1">
        <f t="array" ref="F677">_xlfn.IFS(E677&lt;=35, "18-35", E677&lt;=50, "36-50", E677&lt;=65, "51-65", TRUE, "Over 65")</f>
        <v>51-65</v>
      </c>
      <c r="G677" t="s">
        <v>16</v>
      </c>
      <c r="H677">
        <v>3</v>
      </c>
      <c r="I677" s="2">
        <v>500</v>
      </c>
      <c r="J677" s="2">
        <v>1500</v>
      </c>
    </row>
    <row r="678" spans="1:10" x14ac:dyDescent="0.35">
      <c r="A678">
        <v>677</v>
      </c>
      <c r="B678" s="1">
        <v>45226</v>
      </c>
      <c r="C678" t="s">
        <v>690</v>
      </c>
      <c r="D678" t="s">
        <v>13</v>
      </c>
      <c r="E678">
        <v>19</v>
      </c>
      <c r="F678" t="str" cm="1">
        <f t="array" ref="F678">_xlfn.IFS(E678&lt;=35, "18-35", E678&lt;=50, "36-50", E678&lt;=65, "51-65", TRUE, "Over 65")</f>
        <v>18-35</v>
      </c>
      <c r="G678" t="s">
        <v>11</v>
      </c>
      <c r="H678">
        <v>3</v>
      </c>
      <c r="I678" s="2">
        <v>500</v>
      </c>
      <c r="J678" s="2">
        <v>1500</v>
      </c>
    </row>
    <row r="679" spans="1:10" x14ac:dyDescent="0.35">
      <c r="A679">
        <v>678</v>
      </c>
      <c r="B679" s="1">
        <v>45283</v>
      </c>
      <c r="C679" t="s">
        <v>691</v>
      </c>
      <c r="D679" t="s">
        <v>13</v>
      </c>
      <c r="E679">
        <v>60</v>
      </c>
      <c r="F679" t="str" cm="1">
        <f t="array" ref="F679">_xlfn.IFS(E679&lt;=35, "18-35", E679&lt;=50, "36-50", E679&lt;=65, "51-65", TRUE, "Over 65")</f>
        <v>51-65</v>
      </c>
      <c r="G679" t="s">
        <v>16</v>
      </c>
      <c r="H679">
        <v>3</v>
      </c>
      <c r="I679" s="2">
        <v>300</v>
      </c>
      <c r="J679" s="2">
        <v>900</v>
      </c>
    </row>
    <row r="680" spans="1:10" x14ac:dyDescent="0.35">
      <c r="A680">
        <v>679</v>
      </c>
      <c r="B680" s="1">
        <v>44937</v>
      </c>
      <c r="C680" t="s">
        <v>692</v>
      </c>
      <c r="D680" t="s">
        <v>13</v>
      </c>
      <c r="E680">
        <v>18</v>
      </c>
      <c r="F680" t="str" cm="1">
        <f t="array" ref="F680">_xlfn.IFS(E680&lt;=35, "18-35", E680&lt;=50, "36-50", E680&lt;=65, "51-65", TRUE, "Over 65")</f>
        <v>18-35</v>
      </c>
      <c r="G680" t="s">
        <v>11</v>
      </c>
      <c r="H680">
        <v>3</v>
      </c>
      <c r="I680" s="2">
        <v>30</v>
      </c>
      <c r="J680" s="2">
        <v>90</v>
      </c>
    </row>
    <row r="681" spans="1:10" x14ac:dyDescent="0.35">
      <c r="A681">
        <v>680</v>
      </c>
      <c r="B681" s="1">
        <v>45221</v>
      </c>
      <c r="C681" t="s">
        <v>693</v>
      </c>
      <c r="D681" t="s">
        <v>13</v>
      </c>
      <c r="E681">
        <v>53</v>
      </c>
      <c r="F681" t="str" cm="1">
        <f t="array" ref="F681">_xlfn.IFS(E681&lt;=35, "18-35", E681&lt;=50, "36-50", E681&lt;=65, "51-65", TRUE, "Over 65")</f>
        <v>51-65</v>
      </c>
      <c r="G681" t="s">
        <v>14</v>
      </c>
      <c r="H681">
        <v>3</v>
      </c>
      <c r="I681" s="2">
        <v>300</v>
      </c>
      <c r="J681" s="2">
        <v>900</v>
      </c>
    </row>
    <row r="682" spans="1:10" x14ac:dyDescent="0.35">
      <c r="A682">
        <v>681</v>
      </c>
      <c r="B682" s="1">
        <v>45121</v>
      </c>
      <c r="C682" t="s">
        <v>694</v>
      </c>
      <c r="D682" t="s">
        <v>13</v>
      </c>
      <c r="E682">
        <v>43</v>
      </c>
      <c r="F682" t="str" cm="1">
        <f t="array" ref="F682">_xlfn.IFS(E682&lt;=35, "18-35", E682&lt;=50, "36-50", E682&lt;=65, "51-65", TRUE, "Over 65")</f>
        <v>36-50</v>
      </c>
      <c r="G682" t="s">
        <v>16</v>
      </c>
      <c r="H682">
        <v>2</v>
      </c>
      <c r="I682" s="2">
        <v>30</v>
      </c>
      <c r="J682" s="2">
        <v>60</v>
      </c>
    </row>
    <row r="683" spans="1:10" x14ac:dyDescent="0.35">
      <c r="A683">
        <v>682</v>
      </c>
      <c r="B683" s="1">
        <v>45171</v>
      </c>
      <c r="C683" t="s">
        <v>695</v>
      </c>
      <c r="D683" t="s">
        <v>10</v>
      </c>
      <c r="E683">
        <v>46</v>
      </c>
      <c r="F683" t="str" cm="1">
        <f t="array" ref="F683">_xlfn.IFS(E683&lt;=35, "18-35", E683&lt;=50, "36-50", E683&lt;=65, "51-65", TRUE, "Over 65")</f>
        <v>36-50</v>
      </c>
      <c r="G683" t="s">
        <v>11</v>
      </c>
      <c r="H683">
        <v>4</v>
      </c>
      <c r="I683" s="2">
        <v>300</v>
      </c>
      <c r="J683" s="2">
        <v>1200</v>
      </c>
    </row>
    <row r="684" spans="1:10" x14ac:dyDescent="0.35">
      <c r="A684">
        <v>683</v>
      </c>
      <c r="B684" s="1">
        <v>44930</v>
      </c>
      <c r="C684" t="s">
        <v>696</v>
      </c>
      <c r="D684" t="s">
        <v>10</v>
      </c>
      <c r="E684">
        <v>38</v>
      </c>
      <c r="F684" t="str" cm="1">
        <f t="array" ref="F684">_xlfn.IFS(E684&lt;=35, "18-35", E684&lt;=50, "36-50", E684&lt;=65, "51-65", TRUE, "Over 65")</f>
        <v>36-50</v>
      </c>
      <c r="G684" t="s">
        <v>11</v>
      </c>
      <c r="H684">
        <v>2</v>
      </c>
      <c r="I684" s="2">
        <v>500</v>
      </c>
      <c r="J684" s="2">
        <v>1000</v>
      </c>
    </row>
    <row r="685" spans="1:10" x14ac:dyDescent="0.35">
      <c r="A685">
        <v>684</v>
      </c>
      <c r="B685" s="1">
        <v>45107</v>
      </c>
      <c r="C685" t="s">
        <v>697</v>
      </c>
      <c r="D685" t="s">
        <v>13</v>
      </c>
      <c r="E685">
        <v>28</v>
      </c>
      <c r="F685" t="str" cm="1">
        <f t="array" ref="F685">_xlfn.IFS(E685&lt;=35, "18-35", E685&lt;=50, "36-50", E685&lt;=65, "51-65", TRUE, "Over 65")</f>
        <v>18-35</v>
      </c>
      <c r="G685" t="s">
        <v>14</v>
      </c>
      <c r="H685">
        <v>2</v>
      </c>
      <c r="I685" s="2">
        <v>500</v>
      </c>
      <c r="J685" s="2">
        <v>1000</v>
      </c>
    </row>
    <row r="686" spans="1:10" x14ac:dyDescent="0.35">
      <c r="A686">
        <v>685</v>
      </c>
      <c r="B686" s="1">
        <v>45079</v>
      </c>
      <c r="C686" t="s">
        <v>698</v>
      </c>
      <c r="D686" t="s">
        <v>10</v>
      </c>
      <c r="E686">
        <v>57</v>
      </c>
      <c r="F686" t="str" cm="1">
        <f t="array" ref="F686">_xlfn.IFS(E686&lt;=35, "18-35", E686&lt;=50, "36-50", E686&lt;=65, "51-65", TRUE, "Over 65")</f>
        <v>51-65</v>
      </c>
      <c r="G686" t="s">
        <v>16</v>
      </c>
      <c r="H686">
        <v>2</v>
      </c>
      <c r="I686" s="2">
        <v>25</v>
      </c>
      <c r="J686" s="2">
        <v>50</v>
      </c>
    </row>
    <row r="687" spans="1:10" x14ac:dyDescent="0.35">
      <c r="A687">
        <v>686</v>
      </c>
      <c r="B687" s="1">
        <v>45126</v>
      </c>
      <c r="C687" t="s">
        <v>699</v>
      </c>
      <c r="D687" t="s">
        <v>13</v>
      </c>
      <c r="E687">
        <v>28</v>
      </c>
      <c r="F687" t="str" cm="1">
        <f t="array" ref="F687">_xlfn.IFS(E687&lt;=35, "18-35", E687&lt;=50, "36-50", E687&lt;=65, "51-65", TRUE, "Over 65")</f>
        <v>18-35</v>
      </c>
      <c r="G687" t="s">
        <v>16</v>
      </c>
      <c r="H687">
        <v>4</v>
      </c>
      <c r="I687" s="2">
        <v>50</v>
      </c>
      <c r="J687" s="2">
        <v>200</v>
      </c>
    </row>
    <row r="688" spans="1:10" x14ac:dyDescent="0.35">
      <c r="A688">
        <v>687</v>
      </c>
      <c r="B688" s="1">
        <v>45141</v>
      </c>
      <c r="C688" t="s">
        <v>700</v>
      </c>
      <c r="D688" t="s">
        <v>13</v>
      </c>
      <c r="E688">
        <v>53</v>
      </c>
      <c r="F688" t="str" cm="1">
        <f t="array" ref="F688">_xlfn.IFS(E688&lt;=35, "18-35", E688&lt;=50, "36-50", E688&lt;=65, "51-65", TRUE, "Over 65")</f>
        <v>51-65</v>
      </c>
      <c r="G688" t="s">
        <v>16</v>
      </c>
      <c r="H688">
        <v>1</v>
      </c>
      <c r="I688" s="2">
        <v>300</v>
      </c>
      <c r="J688" s="2">
        <v>300</v>
      </c>
    </row>
    <row r="689" spans="1:10" x14ac:dyDescent="0.35">
      <c r="A689">
        <v>688</v>
      </c>
      <c r="B689" s="1">
        <v>45202</v>
      </c>
      <c r="C689" t="s">
        <v>701</v>
      </c>
      <c r="D689" t="s">
        <v>10</v>
      </c>
      <c r="E689">
        <v>56</v>
      </c>
      <c r="F689" t="str" cm="1">
        <f t="array" ref="F689">_xlfn.IFS(E689&lt;=35, "18-35", E689&lt;=50, "36-50", E689&lt;=65, "51-65", TRUE, "Over 65")</f>
        <v>51-65</v>
      </c>
      <c r="G689" t="s">
        <v>14</v>
      </c>
      <c r="H689">
        <v>4</v>
      </c>
      <c r="I689" s="2">
        <v>25</v>
      </c>
      <c r="J689" s="2">
        <v>100</v>
      </c>
    </row>
    <row r="690" spans="1:10" x14ac:dyDescent="0.35">
      <c r="A690">
        <v>689</v>
      </c>
      <c r="B690" s="1">
        <v>45206</v>
      </c>
      <c r="C690" t="s">
        <v>702</v>
      </c>
      <c r="D690" t="s">
        <v>10</v>
      </c>
      <c r="E690">
        <v>57</v>
      </c>
      <c r="F690" t="str" cm="1">
        <f t="array" ref="F690">_xlfn.IFS(E690&lt;=35, "18-35", E690&lt;=50, "36-50", E690&lt;=65, "51-65", TRUE, "Over 65")</f>
        <v>51-65</v>
      </c>
      <c r="G690" t="s">
        <v>16</v>
      </c>
      <c r="H690">
        <v>2</v>
      </c>
      <c r="I690" s="2">
        <v>50</v>
      </c>
      <c r="J690" s="2">
        <v>100</v>
      </c>
    </row>
    <row r="691" spans="1:10" x14ac:dyDescent="0.35">
      <c r="A691">
        <v>690</v>
      </c>
      <c r="B691" s="1">
        <v>45235</v>
      </c>
      <c r="C691" t="s">
        <v>703</v>
      </c>
      <c r="D691" t="s">
        <v>13</v>
      </c>
      <c r="E691">
        <v>52</v>
      </c>
      <c r="F691" t="str" cm="1">
        <f t="array" ref="F691">_xlfn.IFS(E691&lt;=35, "18-35", E691&lt;=50, "36-50", E691&lt;=65, "51-65", TRUE, "Over 65")</f>
        <v>51-65</v>
      </c>
      <c r="G691" t="s">
        <v>14</v>
      </c>
      <c r="H691">
        <v>3</v>
      </c>
      <c r="I691" s="2">
        <v>300</v>
      </c>
      <c r="J691" s="2">
        <v>900</v>
      </c>
    </row>
    <row r="692" spans="1:10" x14ac:dyDescent="0.35">
      <c r="A692">
        <v>691</v>
      </c>
      <c r="B692" s="1">
        <v>45039</v>
      </c>
      <c r="C692" t="s">
        <v>704</v>
      </c>
      <c r="D692" t="s">
        <v>13</v>
      </c>
      <c r="E692">
        <v>51</v>
      </c>
      <c r="F692" t="str" cm="1">
        <f t="array" ref="F692">_xlfn.IFS(E692&lt;=35, "18-35", E692&lt;=50, "36-50", E692&lt;=65, "51-65", TRUE, "Over 65")</f>
        <v>51-65</v>
      </c>
      <c r="G692" t="s">
        <v>14</v>
      </c>
      <c r="H692">
        <v>3</v>
      </c>
      <c r="I692" s="2">
        <v>30</v>
      </c>
      <c r="J692" s="2">
        <v>90</v>
      </c>
    </row>
    <row r="693" spans="1:10" x14ac:dyDescent="0.35">
      <c r="A693">
        <v>692</v>
      </c>
      <c r="B693" s="1">
        <v>45176</v>
      </c>
      <c r="C693" t="s">
        <v>705</v>
      </c>
      <c r="D693" t="s">
        <v>13</v>
      </c>
      <c r="E693">
        <v>64</v>
      </c>
      <c r="F693" t="str" cm="1">
        <f t="array" ref="F693">_xlfn.IFS(E693&lt;=35, "18-35", E693&lt;=50, "36-50", E693&lt;=65, "51-65", TRUE, "Over 65")</f>
        <v>51-65</v>
      </c>
      <c r="G693" t="s">
        <v>14</v>
      </c>
      <c r="H693">
        <v>2</v>
      </c>
      <c r="I693" s="2">
        <v>50</v>
      </c>
      <c r="J693" s="2">
        <v>100</v>
      </c>
    </row>
    <row r="694" spans="1:10" x14ac:dyDescent="0.35">
      <c r="A694">
        <v>693</v>
      </c>
      <c r="B694" s="1">
        <v>45039</v>
      </c>
      <c r="C694" t="s">
        <v>706</v>
      </c>
      <c r="D694" t="s">
        <v>10</v>
      </c>
      <c r="E694">
        <v>41</v>
      </c>
      <c r="F694" t="str" cm="1">
        <f t="array" ref="F694">_xlfn.IFS(E694&lt;=35, "18-35", E694&lt;=50, "36-50", E694&lt;=65, "51-65", TRUE, "Over 65")</f>
        <v>36-50</v>
      </c>
      <c r="G694" t="s">
        <v>11</v>
      </c>
      <c r="H694">
        <v>3</v>
      </c>
      <c r="I694" s="2">
        <v>500</v>
      </c>
      <c r="J694" s="2">
        <v>1500</v>
      </c>
    </row>
    <row r="695" spans="1:10" x14ac:dyDescent="0.35">
      <c r="A695">
        <v>694</v>
      </c>
      <c r="B695" s="1">
        <v>45066</v>
      </c>
      <c r="C695" t="s">
        <v>707</v>
      </c>
      <c r="D695" t="s">
        <v>13</v>
      </c>
      <c r="E695">
        <v>39</v>
      </c>
      <c r="F695" t="str" cm="1">
        <f t="array" ref="F695">_xlfn.IFS(E695&lt;=35, "18-35", E695&lt;=50, "36-50", E695&lt;=65, "51-65", TRUE, "Over 65")</f>
        <v>36-50</v>
      </c>
      <c r="G695" t="s">
        <v>16</v>
      </c>
      <c r="H695">
        <v>2</v>
      </c>
      <c r="I695" s="2">
        <v>25</v>
      </c>
      <c r="J695" s="2">
        <v>50</v>
      </c>
    </row>
    <row r="696" spans="1:10" x14ac:dyDescent="0.35">
      <c r="A696">
        <v>695</v>
      </c>
      <c r="B696" s="1">
        <v>45150</v>
      </c>
      <c r="C696" t="s">
        <v>708</v>
      </c>
      <c r="D696" t="s">
        <v>13</v>
      </c>
      <c r="E696">
        <v>22</v>
      </c>
      <c r="F696" t="str" cm="1">
        <f t="array" ref="F696">_xlfn.IFS(E696&lt;=35, "18-35", E696&lt;=50, "36-50", E696&lt;=65, "51-65", TRUE, "Over 65")</f>
        <v>18-35</v>
      </c>
      <c r="G696" t="s">
        <v>16</v>
      </c>
      <c r="H696">
        <v>3</v>
      </c>
      <c r="I696" s="2">
        <v>50</v>
      </c>
      <c r="J696" s="2">
        <v>150</v>
      </c>
    </row>
    <row r="697" spans="1:10" x14ac:dyDescent="0.35">
      <c r="A697">
        <v>696</v>
      </c>
      <c r="B697" s="1">
        <v>45175</v>
      </c>
      <c r="C697" t="s">
        <v>709</v>
      </c>
      <c r="D697" t="s">
        <v>13</v>
      </c>
      <c r="E697">
        <v>50</v>
      </c>
      <c r="F697" t="str" cm="1">
        <f t="array" ref="F697">_xlfn.IFS(E697&lt;=35, "18-35", E697&lt;=50, "36-50", E697&lt;=65, "51-65", TRUE, "Over 65")</f>
        <v>36-50</v>
      </c>
      <c r="G697" t="s">
        <v>14</v>
      </c>
      <c r="H697">
        <v>4</v>
      </c>
      <c r="I697" s="2">
        <v>50</v>
      </c>
      <c r="J697" s="2">
        <v>200</v>
      </c>
    </row>
    <row r="698" spans="1:10" x14ac:dyDescent="0.35">
      <c r="A698">
        <v>697</v>
      </c>
      <c r="B698" s="1">
        <v>44941</v>
      </c>
      <c r="C698" t="s">
        <v>710</v>
      </c>
      <c r="D698" t="s">
        <v>10</v>
      </c>
      <c r="E698">
        <v>53</v>
      </c>
      <c r="F698" t="str" cm="1">
        <f t="array" ref="F698">_xlfn.IFS(E698&lt;=35, "18-35", E698&lt;=50, "36-50", E698&lt;=65, "51-65", TRUE, "Over 65")</f>
        <v>51-65</v>
      </c>
      <c r="G698" t="s">
        <v>14</v>
      </c>
      <c r="H698">
        <v>1</v>
      </c>
      <c r="I698" s="2">
        <v>500</v>
      </c>
      <c r="J698" s="2">
        <v>500</v>
      </c>
    </row>
    <row r="699" spans="1:10" x14ac:dyDescent="0.35">
      <c r="A699">
        <v>698</v>
      </c>
      <c r="B699" s="1">
        <v>45126</v>
      </c>
      <c r="C699" t="s">
        <v>711</v>
      </c>
      <c r="D699" t="s">
        <v>13</v>
      </c>
      <c r="E699">
        <v>64</v>
      </c>
      <c r="F699" t="str" cm="1">
        <f t="array" ref="F699">_xlfn.IFS(E699&lt;=35, "18-35", E699&lt;=50, "36-50", E699&lt;=65, "51-65", TRUE, "Over 65")</f>
        <v>51-65</v>
      </c>
      <c r="G699" t="s">
        <v>16</v>
      </c>
      <c r="H699">
        <v>1</v>
      </c>
      <c r="I699" s="2">
        <v>300</v>
      </c>
      <c r="J699" s="2">
        <v>300</v>
      </c>
    </row>
    <row r="700" spans="1:10" x14ac:dyDescent="0.35">
      <c r="A700">
        <v>699</v>
      </c>
      <c r="B700" s="1">
        <v>45099</v>
      </c>
      <c r="C700" t="s">
        <v>712</v>
      </c>
      <c r="D700" t="s">
        <v>13</v>
      </c>
      <c r="E700">
        <v>37</v>
      </c>
      <c r="F700" t="str" cm="1">
        <f t="array" ref="F700">_xlfn.IFS(E700&lt;=35, "18-35", E700&lt;=50, "36-50", E700&lt;=65, "51-65", TRUE, "Over 65")</f>
        <v>36-50</v>
      </c>
      <c r="G700" t="s">
        <v>14</v>
      </c>
      <c r="H700">
        <v>4</v>
      </c>
      <c r="I700" s="2">
        <v>30</v>
      </c>
      <c r="J700" s="2">
        <v>120</v>
      </c>
    </row>
    <row r="701" spans="1:10" x14ac:dyDescent="0.35">
      <c r="A701">
        <v>700</v>
      </c>
      <c r="B701" s="1">
        <v>45269</v>
      </c>
      <c r="C701" t="s">
        <v>713</v>
      </c>
      <c r="D701" t="s">
        <v>10</v>
      </c>
      <c r="E701">
        <v>36</v>
      </c>
      <c r="F701" t="str" cm="1">
        <f t="array" ref="F701">_xlfn.IFS(E701&lt;=35, "18-35", E701&lt;=50, "36-50", E701&lt;=65, "51-65", TRUE, "Over 65")</f>
        <v>36-50</v>
      </c>
      <c r="G701" t="s">
        <v>16</v>
      </c>
      <c r="H701">
        <v>4</v>
      </c>
      <c r="I701" s="2">
        <v>500</v>
      </c>
      <c r="J701" s="2">
        <v>2000</v>
      </c>
    </row>
    <row r="702" spans="1:10" x14ac:dyDescent="0.35">
      <c r="A702">
        <v>701</v>
      </c>
      <c r="B702" s="1">
        <v>45274</v>
      </c>
      <c r="C702" t="s">
        <v>714</v>
      </c>
      <c r="D702" t="s">
        <v>13</v>
      </c>
      <c r="E702">
        <v>52</v>
      </c>
      <c r="F702" t="str" cm="1">
        <f t="array" ref="F702">_xlfn.IFS(E702&lt;=35, "18-35", E702&lt;=50, "36-50", E702&lt;=65, "51-65", TRUE, "Over 65")</f>
        <v>51-65</v>
      </c>
      <c r="G702" t="s">
        <v>11</v>
      </c>
      <c r="H702">
        <v>2</v>
      </c>
      <c r="I702" s="2">
        <v>30</v>
      </c>
      <c r="J702" s="2">
        <v>60</v>
      </c>
    </row>
    <row r="703" spans="1:10" x14ac:dyDescent="0.35">
      <c r="A703">
        <v>702</v>
      </c>
      <c r="B703" s="1">
        <v>45134</v>
      </c>
      <c r="C703" t="s">
        <v>715</v>
      </c>
      <c r="D703" t="s">
        <v>13</v>
      </c>
      <c r="E703">
        <v>60</v>
      </c>
      <c r="F703" t="str" cm="1">
        <f t="array" ref="F703">_xlfn.IFS(E703&lt;=35, "18-35", E703&lt;=50, "36-50", E703&lt;=65, "51-65", TRUE, "Over 65")</f>
        <v>51-65</v>
      </c>
      <c r="G703" t="s">
        <v>14</v>
      </c>
      <c r="H703">
        <v>2</v>
      </c>
      <c r="I703" s="2">
        <v>300</v>
      </c>
      <c r="J703" s="2">
        <v>600</v>
      </c>
    </row>
    <row r="704" spans="1:10" x14ac:dyDescent="0.35">
      <c r="A704">
        <v>703</v>
      </c>
      <c r="B704" s="1">
        <v>45011</v>
      </c>
      <c r="C704" t="s">
        <v>716</v>
      </c>
      <c r="D704" t="s">
        <v>10</v>
      </c>
      <c r="E704">
        <v>34</v>
      </c>
      <c r="F704" t="str" cm="1">
        <f t="array" ref="F704">_xlfn.IFS(E704&lt;=35, "18-35", E704&lt;=50, "36-50", E704&lt;=65, "51-65", TRUE, "Over 65")</f>
        <v>18-35</v>
      </c>
      <c r="G704" t="s">
        <v>16</v>
      </c>
      <c r="H704">
        <v>2</v>
      </c>
      <c r="I704" s="2">
        <v>50</v>
      </c>
      <c r="J704" s="2">
        <v>100</v>
      </c>
    </row>
    <row r="705" spans="1:10" x14ac:dyDescent="0.35">
      <c r="A705">
        <v>704</v>
      </c>
      <c r="B705" s="1">
        <v>45166</v>
      </c>
      <c r="C705" t="s">
        <v>717</v>
      </c>
      <c r="D705" t="s">
        <v>13</v>
      </c>
      <c r="E705">
        <v>62</v>
      </c>
      <c r="F705" t="str" cm="1">
        <f t="array" ref="F705">_xlfn.IFS(E705&lt;=35, "18-35", E705&lt;=50, "36-50", E705&lt;=65, "51-65", TRUE, "Over 65")</f>
        <v>51-65</v>
      </c>
      <c r="G705" t="s">
        <v>14</v>
      </c>
      <c r="H705">
        <v>3</v>
      </c>
      <c r="I705" s="2">
        <v>30</v>
      </c>
      <c r="J705" s="2">
        <v>90</v>
      </c>
    </row>
    <row r="706" spans="1:10" x14ac:dyDescent="0.35">
      <c r="A706">
        <v>705</v>
      </c>
      <c r="B706" s="1">
        <v>44992</v>
      </c>
      <c r="C706" t="s">
        <v>718</v>
      </c>
      <c r="D706" t="s">
        <v>10</v>
      </c>
      <c r="E706">
        <v>60</v>
      </c>
      <c r="F706" t="str" cm="1">
        <f t="array" ref="F706">_xlfn.IFS(E706&lt;=35, "18-35", E706&lt;=50, "36-50", E706&lt;=65, "51-65", TRUE, "Over 65")</f>
        <v>51-65</v>
      </c>
      <c r="G706" t="s">
        <v>16</v>
      </c>
      <c r="H706">
        <v>2</v>
      </c>
      <c r="I706" s="2">
        <v>25</v>
      </c>
      <c r="J706" s="2">
        <v>50</v>
      </c>
    </row>
    <row r="707" spans="1:10" x14ac:dyDescent="0.35">
      <c r="A707">
        <v>706</v>
      </c>
      <c r="B707" s="1">
        <v>45245</v>
      </c>
      <c r="C707" t="s">
        <v>719</v>
      </c>
      <c r="D707" t="s">
        <v>10</v>
      </c>
      <c r="E707">
        <v>51</v>
      </c>
      <c r="F707" t="str" cm="1">
        <f t="array" ref="F707">_xlfn.IFS(E707&lt;=35, "18-35", E707&lt;=50, "36-50", E707&lt;=65, "51-65", TRUE, "Over 65")</f>
        <v>51-65</v>
      </c>
      <c r="G707" t="s">
        <v>16</v>
      </c>
      <c r="H707">
        <v>4</v>
      </c>
      <c r="I707" s="2">
        <v>25</v>
      </c>
      <c r="J707" s="2">
        <v>100</v>
      </c>
    </row>
    <row r="708" spans="1:10" x14ac:dyDescent="0.35">
      <c r="A708">
        <v>707</v>
      </c>
      <c r="B708" s="1">
        <v>45200</v>
      </c>
      <c r="C708" t="s">
        <v>720</v>
      </c>
      <c r="D708" t="s">
        <v>13</v>
      </c>
      <c r="E708">
        <v>26</v>
      </c>
      <c r="F708" t="str" cm="1">
        <f t="array" ref="F708">_xlfn.IFS(E708&lt;=35, "18-35", E708&lt;=50, "36-50", E708&lt;=65, "51-65", TRUE, "Over 65")</f>
        <v>18-35</v>
      </c>
      <c r="G708" t="s">
        <v>14</v>
      </c>
      <c r="H708">
        <v>1</v>
      </c>
      <c r="I708" s="2">
        <v>500</v>
      </c>
      <c r="J708" s="2">
        <v>500</v>
      </c>
    </row>
    <row r="709" spans="1:10" x14ac:dyDescent="0.35">
      <c r="A709">
        <v>708</v>
      </c>
      <c r="B709" s="1">
        <v>44940</v>
      </c>
      <c r="C709" t="s">
        <v>721</v>
      </c>
      <c r="D709" t="s">
        <v>13</v>
      </c>
      <c r="E709">
        <v>43</v>
      </c>
      <c r="F709" t="str" cm="1">
        <f t="array" ref="F709">_xlfn.IFS(E709&lt;=35, "18-35", E709&lt;=50, "36-50", E709&lt;=65, "51-65", TRUE, "Over 65")</f>
        <v>36-50</v>
      </c>
      <c r="G709" t="s">
        <v>11</v>
      </c>
      <c r="H709">
        <v>3</v>
      </c>
      <c r="I709" s="2">
        <v>300</v>
      </c>
      <c r="J709" s="2">
        <v>900</v>
      </c>
    </row>
    <row r="710" spans="1:10" x14ac:dyDescent="0.35">
      <c r="A710">
        <v>709</v>
      </c>
      <c r="B710" s="1">
        <v>45128</v>
      </c>
      <c r="C710" t="s">
        <v>722</v>
      </c>
      <c r="D710" t="s">
        <v>13</v>
      </c>
      <c r="E710">
        <v>19</v>
      </c>
      <c r="F710" t="str" cm="1">
        <f t="array" ref="F710">_xlfn.IFS(E710&lt;=35, "18-35", E710&lt;=50, "36-50", E710&lt;=65, "51-65", TRUE, "Over 65")</f>
        <v>18-35</v>
      </c>
      <c r="G710" t="s">
        <v>16</v>
      </c>
      <c r="H710">
        <v>2</v>
      </c>
      <c r="I710" s="2">
        <v>500</v>
      </c>
      <c r="J710" s="2">
        <v>1000</v>
      </c>
    </row>
    <row r="711" spans="1:10" x14ac:dyDescent="0.35">
      <c r="A711">
        <v>710</v>
      </c>
      <c r="B711" s="1">
        <v>45230</v>
      </c>
      <c r="C711" t="s">
        <v>723</v>
      </c>
      <c r="D711" t="s">
        <v>13</v>
      </c>
      <c r="E711">
        <v>26</v>
      </c>
      <c r="F711" t="str" cm="1">
        <f t="array" ref="F711">_xlfn.IFS(E711&lt;=35, "18-35", E711&lt;=50, "36-50", E711&lt;=65, "51-65", TRUE, "Over 65")</f>
        <v>18-35</v>
      </c>
      <c r="G711" t="s">
        <v>16</v>
      </c>
      <c r="H711">
        <v>3</v>
      </c>
      <c r="I711" s="2">
        <v>500</v>
      </c>
      <c r="J711" s="2">
        <v>1500</v>
      </c>
    </row>
    <row r="712" spans="1:10" x14ac:dyDescent="0.35">
      <c r="A712">
        <v>711</v>
      </c>
      <c r="B712" s="1">
        <v>45215</v>
      </c>
      <c r="C712" t="s">
        <v>724</v>
      </c>
      <c r="D712" t="s">
        <v>10</v>
      </c>
      <c r="E712">
        <v>26</v>
      </c>
      <c r="F712" t="str" cm="1">
        <f t="array" ref="F712">_xlfn.IFS(E712&lt;=35, "18-35", E712&lt;=50, "36-50", E712&lt;=65, "51-65", TRUE, "Over 65")</f>
        <v>18-35</v>
      </c>
      <c r="G712" t="s">
        <v>16</v>
      </c>
      <c r="H712">
        <v>3</v>
      </c>
      <c r="I712" s="2">
        <v>500</v>
      </c>
      <c r="J712" s="2">
        <v>1500</v>
      </c>
    </row>
    <row r="713" spans="1:10" x14ac:dyDescent="0.35">
      <c r="A713">
        <v>712</v>
      </c>
      <c r="B713" s="1">
        <v>45266</v>
      </c>
      <c r="C713" t="s">
        <v>725</v>
      </c>
      <c r="D713" t="s">
        <v>13</v>
      </c>
      <c r="E713">
        <v>57</v>
      </c>
      <c r="F713" t="str" cm="1">
        <f t="array" ref="F713">_xlfn.IFS(E713&lt;=35, "18-35", E713&lt;=50, "36-50", E713&lt;=65, "51-65", TRUE, "Over 65")</f>
        <v>51-65</v>
      </c>
      <c r="G713" t="s">
        <v>11</v>
      </c>
      <c r="H713">
        <v>2</v>
      </c>
      <c r="I713" s="2">
        <v>25</v>
      </c>
      <c r="J713" s="2">
        <v>50</v>
      </c>
    </row>
    <row r="714" spans="1:10" x14ac:dyDescent="0.35">
      <c r="A714">
        <v>713</v>
      </c>
      <c r="B714" s="1">
        <v>44940</v>
      </c>
      <c r="C714" t="s">
        <v>726</v>
      </c>
      <c r="D714" t="s">
        <v>10</v>
      </c>
      <c r="E714">
        <v>34</v>
      </c>
      <c r="F714" t="str" cm="1">
        <f t="array" ref="F714">_xlfn.IFS(E714&lt;=35, "18-35", E714&lt;=50, "36-50", E714&lt;=65, "51-65", TRUE, "Over 65")</f>
        <v>18-35</v>
      </c>
      <c r="G714" t="s">
        <v>11</v>
      </c>
      <c r="H714">
        <v>3</v>
      </c>
      <c r="I714" s="2">
        <v>25</v>
      </c>
      <c r="J714" s="2">
        <v>75</v>
      </c>
    </row>
    <row r="715" spans="1:10" x14ac:dyDescent="0.35">
      <c r="A715">
        <v>714</v>
      </c>
      <c r="B715" s="1">
        <v>44969</v>
      </c>
      <c r="C715" t="s">
        <v>727</v>
      </c>
      <c r="D715" t="s">
        <v>13</v>
      </c>
      <c r="E715">
        <v>18</v>
      </c>
      <c r="F715" t="str" cm="1">
        <f t="array" ref="F715">_xlfn.IFS(E715&lt;=35, "18-35", E715&lt;=50, "36-50", E715&lt;=65, "51-65", TRUE, "Over 65")</f>
        <v>18-35</v>
      </c>
      <c r="G715" t="s">
        <v>14</v>
      </c>
      <c r="H715">
        <v>1</v>
      </c>
      <c r="I715" s="2">
        <v>500</v>
      </c>
      <c r="J715" s="2">
        <v>500</v>
      </c>
    </row>
    <row r="716" spans="1:10" x14ac:dyDescent="0.35">
      <c r="A716">
        <v>715</v>
      </c>
      <c r="B716" s="1">
        <v>45256</v>
      </c>
      <c r="C716" t="s">
        <v>728</v>
      </c>
      <c r="D716" t="s">
        <v>13</v>
      </c>
      <c r="E716">
        <v>42</v>
      </c>
      <c r="F716" t="str" cm="1">
        <f t="array" ref="F716">_xlfn.IFS(E716&lt;=35, "18-35", E716&lt;=50, "36-50", E716&lt;=65, "51-65", TRUE, "Over 65")</f>
        <v>36-50</v>
      </c>
      <c r="G716" t="s">
        <v>11</v>
      </c>
      <c r="H716">
        <v>4</v>
      </c>
      <c r="I716" s="2">
        <v>25</v>
      </c>
      <c r="J716" s="2">
        <v>100</v>
      </c>
    </row>
    <row r="717" spans="1:10" x14ac:dyDescent="0.35">
      <c r="A717">
        <v>716</v>
      </c>
      <c r="B717" s="1">
        <v>45146</v>
      </c>
      <c r="C717" t="s">
        <v>729</v>
      </c>
      <c r="D717" t="s">
        <v>13</v>
      </c>
      <c r="E717">
        <v>60</v>
      </c>
      <c r="F717" t="str" cm="1">
        <f t="array" ref="F717">_xlfn.IFS(E717&lt;=35, "18-35", E717&lt;=50, "36-50", E717&lt;=65, "51-65", TRUE, "Over 65")</f>
        <v>51-65</v>
      </c>
      <c r="G717" t="s">
        <v>14</v>
      </c>
      <c r="H717">
        <v>4</v>
      </c>
      <c r="I717" s="2">
        <v>300</v>
      </c>
      <c r="J717" s="2">
        <v>1200</v>
      </c>
    </row>
    <row r="718" spans="1:10" x14ac:dyDescent="0.35">
      <c r="A718">
        <v>717</v>
      </c>
      <c r="B718" s="1">
        <v>44996</v>
      </c>
      <c r="C718" t="s">
        <v>730</v>
      </c>
      <c r="D718" t="s">
        <v>10</v>
      </c>
      <c r="E718">
        <v>57</v>
      </c>
      <c r="F718" t="str" cm="1">
        <f t="array" ref="F718">_xlfn.IFS(E718&lt;=35, "18-35", E718&lt;=50, "36-50", E718&lt;=65, "51-65", TRUE, "Over 65")</f>
        <v>51-65</v>
      </c>
      <c r="G718" t="s">
        <v>14</v>
      </c>
      <c r="H718">
        <v>1</v>
      </c>
      <c r="I718" s="2">
        <v>500</v>
      </c>
      <c r="J718" s="2">
        <v>500</v>
      </c>
    </row>
    <row r="719" spans="1:10" x14ac:dyDescent="0.35">
      <c r="A719">
        <v>718</v>
      </c>
      <c r="B719" s="1">
        <v>45163</v>
      </c>
      <c r="C719" t="s">
        <v>731</v>
      </c>
      <c r="D719" t="s">
        <v>13</v>
      </c>
      <c r="E719">
        <v>59</v>
      </c>
      <c r="F719" t="str" cm="1">
        <f t="array" ref="F719">_xlfn.IFS(E719&lt;=35, "18-35", E719&lt;=50, "36-50", E719&lt;=65, "51-65", TRUE, "Over 65")</f>
        <v>51-65</v>
      </c>
      <c r="G719" t="s">
        <v>11</v>
      </c>
      <c r="H719">
        <v>3</v>
      </c>
      <c r="I719" s="2">
        <v>25</v>
      </c>
      <c r="J719" s="2">
        <v>75</v>
      </c>
    </row>
    <row r="720" spans="1:10" x14ac:dyDescent="0.35">
      <c r="A720">
        <v>719</v>
      </c>
      <c r="B720" s="1">
        <v>45020</v>
      </c>
      <c r="C720" t="s">
        <v>732</v>
      </c>
      <c r="D720" t="s">
        <v>13</v>
      </c>
      <c r="E720">
        <v>42</v>
      </c>
      <c r="F720" t="str" cm="1">
        <f t="array" ref="F720">_xlfn.IFS(E720&lt;=35, "18-35", E720&lt;=50, "36-50", E720&lt;=65, "51-65", TRUE, "Over 65")</f>
        <v>36-50</v>
      </c>
      <c r="G720" t="s">
        <v>14</v>
      </c>
      <c r="H720">
        <v>2</v>
      </c>
      <c r="I720" s="2">
        <v>30</v>
      </c>
      <c r="J720" s="2">
        <v>60</v>
      </c>
    </row>
    <row r="721" spans="1:10" x14ac:dyDescent="0.35">
      <c r="A721">
        <v>720</v>
      </c>
      <c r="B721" s="1">
        <v>44952</v>
      </c>
      <c r="C721" t="s">
        <v>733</v>
      </c>
      <c r="D721" t="s">
        <v>13</v>
      </c>
      <c r="E721">
        <v>56</v>
      </c>
      <c r="F721" t="str" cm="1">
        <f t="array" ref="F721">_xlfn.IFS(E721&lt;=35, "18-35", E721&lt;=50, "36-50", E721&lt;=65, "51-65", TRUE, "Over 65")</f>
        <v>51-65</v>
      </c>
      <c r="G721" t="s">
        <v>11</v>
      </c>
      <c r="H721">
        <v>3</v>
      </c>
      <c r="I721" s="2">
        <v>500</v>
      </c>
      <c r="J721" s="2">
        <v>1500</v>
      </c>
    </row>
    <row r="722" spans="1:10" x14ac:dyDescent="0.35">
      <c r="A722">
        <v>721</v>
      </c>
      <c r="B722" s="1">
        <v>45060</v>
      </c>
      <c r="C722" t="s">
        <v>734</v>
      </c>
      <c r="D722" t="s">
        <v>13</v>
      </c>
      <c r="E722">
        <v>52</v>
      </c>
      <c r="F722" t="str" cm="1">
        <f t="array" ref="F722">_xlfn.IFS(E722&lt;=35, "18-35", E722&lt;=50, "36-50", E722&lt;=65, "51-65", TRUE, "Over 65")</f>
        <v>51-65</v>
      </c>
      <c r="G722" t="s">
        <v>14</v>
      </c>
      <c r="H722">
        <v>1</v>
      </c>
      <c r="I722" s="2">
        <v>500</v>
      </c>
      <c r="J722" s="2">
        <v>500</v>
      </c>
    </row>
    <row r="723" spans="1:10" x14ac:dyDescent="0.35">
      <c r="A723">
        <v>722</v>
      </c>
      <c r="B723" s="1">
        <v>45121</v>
      </c>
      <c r="C723" t="s">
        <v>735</v>
      </c>
      <c r="D723" t="s">
        <v>10</v>
      </c>
      <c r="E723">
        <v>20</v>
      </c>
      <c r="F723" t="str" cm="1">
        <f t="array" ref="F723">_xlfn.IFS(E723&lt;=35, "18-35", E723&lt;=50, "36-50", E723&lt;=65, "51-65", TRUE, "Over 65")</f>
        <v>18-35</v>
      </c>
      <c r="G723" t="s">
        <v>11</v>
      </c>
      <c r="H723">
        <v>3</v>
      </c>
      <c r="I723" s="2">
        <v>300</v>
      </c>
      <c r="J723" s="2">
        <v>900</v>
      </c>
    </row>
    <row r="724" spans="1:10" x14ac:dyDescent="0.35">
      <c r="A724">
        <v>723</v>
      </c>
      <c r="B724" s="1">
        <v>45094</v>
      </c>
      <c r="C724" t="s">
        <v>736</v>
      </c>
      <c r="D724" t="s">
        <v>13</v>
      </c>
      <c r="E724">
        <v>54</v>
      </c>
      <c r="F724" t="str" cm="1">
        <f t="array" ref="F724">_xlfn.IFS(E724&lt;=35, "18-35", E724&lt;=50, "36-50", E724&lt;=65, "51-65", TRUE, "Over 65")</f>
        <v>51-65</v>
      </c>
      <c r="G724" t="s">
        <v>11</v>
      </c>
      <c r="H724">
        <v>4</v>
      </c>
      <c r="I724" s="2">
        <v>50</v>
      </c>
      <c r="J724" s="2">
        <v>200</v>
      </c>
    </row>
    <row r="725" spans="1:10" x14ac:dyDescent="0.35">
      <c r="A725">
        <v>724</v>
      </c>
      <c r="B725" s="1">
        <v>45035</v>
      </c>
      <c r="C725" t="s">
        <v>737</v>
      </c>
      <c r="D725" t="s">
        <v>10</v>
      </c>
      <c r="E725">
        <v>61</v>
      </c>
      <c r="F725" t="str" cm="1">
        <f t="array" ref="F725">_xlfn.IFS(E725&lt;=35, "18-35", E725&lt;=50, "36-50", E725&lt;=65, "51-65", TRUE, "Over 65")</f>
        <v>51-65</v>
      </c>
      <c r="G725" t="s">
        <v>14</v>
      </c>
      <c r="H725">
        <v>3</v>
      </c>
      <c r="I725" s="2">
        <v>50</v>
      </c>
      <c r="J725" s="2">
        <v>150</v>
      </c>
    </row>
    <row r="726" spans="1:10" x14ac:dyDescent="0.35">
      <c r="A726">
        <v>725</v>
      </c>
      <c r="B726" s="1">
        <v>45159</v>
      </c>
      <c r="C726" t="s">
        <v>738</v>
      </c>
      <c r="D726" t="s">
        <v>10</v>
      </c>
      <c r="E726">
        <v>61</v>
      </c>
      <c r="F726" t="str" cm="1">
        <f t="array" ref="F726">_xlfn.IFS(E726&lt;=35, "18-35", E726&lt;=50, "36-50", E726&lt;=65, "51-65", TRUE, "Over 65")</f>
        <v>51-65</v>
      </c>
      <c r="G726" t="s">
        <v>16</v>
      </c>
      <c r="H726">
        <v>1</v>
      </c>
      <c r="I726" s="2">
        <v>300</v>
      </c>
      <c r="J726" s="2">
        <v>300</v>
      </c>
    </row>
    <row r="727" spans="1:10" x14ac:dyDescent="0.35">
      <c r="A727">
        <v>726</v>
      </c>
      <c r="B727" s="1">
        <v>45094</v>
      </c>
      <c r="C727" t="s">
        <v>739</v>
      </c>
      <c r="D727" t="s">
        <v>10</v>
      </c>
      <c r="E727">
        <v>47</v>
      </c>
      <c r="F727" t="str" cm="1">
        <f t="array" ref="F727">_xlfn.IFS(E727&lt;=35, "18-35", E727&lt;=50, "36-50", E727&lt;=65, "51-65", TRUE, "Over 65")</f>
        <v>36-50</v>
      </c>
      <c r="G727" t="s">
        <v>14</v>
      </c>
      <c r="H727">
        <v>4</v>
      </c>
      <c r="I727" s="2">
        <v>300</v>
      </c>
      <c r="J727" s="2">
        <v>1200</v>
      </c>
    </row>
    <row r="728" spans="1:10" x14ac:dyDescent="0.35">
      <c r="A728">
        <v>727</v>
      </c>
      <c r="B728" s="1">
        <v>45099</v>
      </c>
      <c r="C728" t="s">
        <v>740</v>
      </c>
      <c r="D728" t="s">
        <v>10</v>
      </c>
      <c r="E728">
        <v>55</v>
      </c>
      <c r="F728" t="str" cm="1">
        <f t="array" ref="F728">_xlfn.IFS(E728&lt;=35, "18-35", E728&lt;=50, "36-50", E728&lt;=65, "51-65", TRUE, "Over 65")</f>
        <v>51-65</v>
      </c>
      <c r="G728" t="s">
        <v>11</v>
      </c>
      <c r="H728">
        <v>3</v>
      </c>
      <c r="I728" s="2">
        <v>300</v>
      </c>
      <c r="J728" s="2">
        <v>900</v>
      </c>
    </row>
    <row r="729" spans="1:10" x14ac:dyDescent="0.35">
      <c r="A729">
        <v>728</v>
      </c>
      <c r="B729" s="1">
        <v>45121</v>
      </c>
      <c r="C729" t="s">
        <v>741</v>
      </c>
      <c r="D729" t="s">
        <v>10</v>
      </c>
      <c r="E729">
        <v>51</v>
      </c>
      <c r="F729" t="str" cm="1">
        <f t="array" ref="F729">_xlfn.IFS(E729&lt;=35, "18-35", E729&lt;=50, "36-50", E729&lt;=65, "51-65", TRUE, "Over 65")</f>
        <v>51-65</v>
      </c>
      <c r="G729" t="s">
        <v>16</v>
      </c>
      <c r="H729">
        <v>3</v>
      </c>
      <c r="I729" s="2">
        <v>50</v>
      </c>
      <c r="J729" s="2">
        <v>150</v>
      </c>
    </row>
    <row r="730" spans="1:10" x14ac:dyDescent="0.35">
      <c r="A730">
        <v>729</v>
      </c>
      <c r="B730" s="1">
        <v>45069</v>
      </c>
      <c r="C730" t="s">
        <v>742</v>
      </c>
      <c r="D730" t="s">
        <v>10</v>
      </c>
      <c r="E730">
        <v>29</v>
      </c>
      <c r="F730" t="str" cm="1">
        <f t="array" ref="F730">_xlfn.IFS(E730&lt;=35, "18-35", E730&lt;=50, "36-50", E730&lt;=65, "51-65", TRUE, "Over 65")</f>
        <v>18-35</v>
      </c>
      <c r="G730" t="s">
        <v>14</v>
      </c>
      <c r="H730">
        <v>4</v>
      </c>
      <c r="I730" s="2">
        <v>300</v>
      </c>
      <c r="J730" s="2">
        <v>1200</v>
      </c>
    </row>
    <row r="731" spans="1:10" x14ac:dyDescent="0.35">
      <c r="A731">
        <v>730</v>
      </c>
      <c r="B731" s="1">
        <v>45142</v>
      </c>
      <c r="C731" t="s">
        <v>743</v>
      </c>
      <c r="D731" t="s">
        <v>13</v>
      </c>
      <c r="E731">
        <v>36</v>
      </c>
      <c r="F731" t="str" cm="1">
        <f t="array" ref="F731">_xlfn.IFS(E731&lt;=35, "18-35", E731&lt;=50, "36-50", E731&lt;=65, "51-65", TRUE, "Over 65")</f>
        <v>36-50</v>
      </c>
      <c r="G731" t="s">
        <v>14</v>
      </c>
      <c r="H731">
        <v>2</v>
      </c>
      <c r="I731" s="2">
        <v>25</v>
      </c>
      <c r="J731" s="2">
        <v>50</v>
      </c>
    </row>
    <row r="732" spans="1:10" x14ac:dyDescent="0.35">
      <c r="A732">
        <v>731</v>
      </c>
      <c r="B732" s="1">
        <v>45056</v>
      </c>
      <c r="C732" t="s">
        <v>744</v>
      </c>
      <c r="D732" t="s">
        <v>10</v>
      </c>
      <c r="E732">
        <v>54</v>
      </c>
      <c r="F732" t="str" cm="1">
        <f t="array" ref="F732">_xlfn.IFS(E732&lt;=35, "18-35", E732&lt;=50, "36-50", E732&lt;=65, "51-65", TRUE, "Over 65")</f>
        <v>51-65</v>
      </c>
      <c r="G732" t="s">
        <v>14</v>
      </c>
      <c r="H732">
        <v>4</v>
      </c>
      <c r="I732" s="2">
        <v>500</v>
      </c>
      <c r="J732" s="2">
        <v>2000</v>
      </c>
    </row>
    <row r="733" spans="1:10" x14ac:dyDescent="0.35">
      <c r="A733">
        <v>732</v>
      </c>
      <c r="B733" s="1">
        <v>44968</v>
      </c>
      <c r="C733" t="s">
        <v>745</v>
      </c>
      <c r="D733" t="s">
        <v>10</v>
      </c>
      <c r="E733">
        <v>61</v>
      </c>
      <c r="F733" t="str" cm="1">
        <f t="array" ref="F733">_xlfn.IFS(E733&lt;=35, "18-35", E733&lt;=50, "36-50", E733&lt;=65, "51-65", TRUE, "Over 65")</f>
        <v>51-65</v>
      </c>
      <c r="G733" t="s">
        <v>16</v>
      </c>
      <c r="H733">
        <v>2</v>
      </c>
      <c r="I733" s="2">
        <v>500</v>
      </c>
      <c r="J733" s="2">
        <v>1000</v>
      </c>
    </row>
    <row r="734" spans="1:10" x14ac:dyDescent="0.35">
      <c r="A734">
        <v>733</v>
      </c>
      <c r="B734" s="1">
        <v>45167</v>
      </c>
      <c r="C734" t="s">
        <v>746</v>
      </c>
      <c r="D734" t="s">
        <v>10</v>
      </c>
      <c r="E734">
        <v>34</v>
      </c>
      <c r="F734" t="str" cm="1">
        <f t="array" ref="F734">_xlfn.IFS(E734&lt;=35, "18-35", E734&lt;=50, "36-50", E734&lt;=65, "51-65", TRUE, "Over 65")</f>
        <v>18-35</v>
      </c>
      <c r="G734" t="s">
        <v>11</v>
      </c>
      <c r="H734">
        <v>1</v>
      </c>
      <c r="I734" s="2">
        <v>30</v>
      </c>
      <c r="J734" s="2">
        <v>30</v>
      </c>
    </row>
    <row r="735" spans="1:10" x14ac:dyDescent="0.35">
      <c r="A735">
        <v>734</v>
      </c>
      <c r="B735" s="1">
        <v>44936</v>
      </c>
      <c r="C735" t="s">
        <v>747</v>
      </c>
      <c r="D735" t="s">
        <v>13</v>
      </c>
      <c r="E735">
        <v>27</v>
      </c>
      <c r="F735" t="str" cm="1">
        <f t="array" ref="F735">_xlfn.IFS(E735&lt;=35, "18-35", E735&lt;=50, "36-50", E735&lt;=65, "51-65", TRUE, "Over 65")</f>
        <v>18-35</v>
      </c>
      <c r="G735" t="s">
        <v>14</v>
      </c>
      <c r="H735">
        <v>1</v>
      </c>
      <c r="I735" s="2">
        <v>30</v>
      </c>
      <c r="J735" s="2">
        <v>30</v>
      </c>
    </row>
    <row r="736" spans="1:10" x14ac:dyDescent="0.35">
      <c r="A736">
        <v>735</v>
      </c>
      <c r="B736" s="1">
        <v>45203</v>
      </c>
      <c r="C736" t="s">
        <v>748</v>
      </c>
      <c r="D736" t="s">
        <v>13</v>
      </c>
      <c r="E736">
        <v>64</v>
      </c>
      <c r="F736" t="str" cm="1">
        <f t="array" ref="F736">_xlfn.IFS(E736&lt;=35, "18-35", E736&lt;=50, "36-50", E736&lt;=65, "51-65", TRUE, "Over 65")</f>
        <v>51-65</v>
      </c>
      <c r="G736" t="s">
        <v>14</v>
      </c>
      <c r="H736">
        <v>4</v>
      </c>
      <c r="I736" s="2">
        <v>500</v>
      </c>
      <c r="J736" s="2">
        <v>2000</v>
      </c>
    </row>
    <row r="737" spans="1:10" x14ac:dyDescent="0.35">
      <c r="A737">
        <v>736</v>
      </c>
      <c r="B737" s="1">
        <v>44953</v>
      </c>
      <c r="C737" t="s">
        <v>749</v>
      </c>
      <c r="D737" t="s">
        <v>10</v>
      </c>
      <c r="E737">
        <v>29</v>
      </c>
      <c r="F737" t="str" cm="1">
        <f t="array" ref="F737">_xlfn.IFS(E737&lt;=35, "18-35", E737&lt;=50, "36-50", E737&lt;=65, "51-65", TRUE, "Over 65")</f>
        <v>18-35</v>
      </c>
      <c r="G737" t="s">
        <v>14</v>
      </c>
      <c r="H737">
        <v>4</v>
      </c>
      <c r="I737" s="2">
        <v>25</v>
      </c>
      <c r="J737" s="2">
        <v>100</v>
      </c>
    </row>
    <row r="738" spans="1:10" x14ac:dyDescent="0.35">
      <c r="A738">
        <v>737</v>
      </c>
      <c r="B738" s="1">
        <v>45106</v>
      </c>
      <c r="C738" t="s">
        <v>750</v>
      </c>
      <c r="D738" t="s">
        <v>13</v>
      </c>
      <c r="E738">
        <v>33</v>
      </c>
      <c r="F738" t="str" cm="1">
        <f t="array" ref="F738">_xlfn.IFS(E738&lt;=35, "18-35", E738&lt;=50, "36-50", E738&lt;=65, "51-65", TRUE, "Over 65")</f>
        <v>18-35</v>
      </c>
      <c r="G738" t="s">
        <v>14</v>
      </c>
      <c r="H738">
        <v>1</v>
      </c>
      <c r="I738" s="2">
        <v>50</v>
      </c>
      <c r="J738" s="2">
        <v>50</v>
      </c>
    </row>
    <row r="739" spans="1:10" x14ac:dyDescent="0.35">
      <c r="A739">
        <v>738</v>
      </c>
      <c r="B739" s="1">
        <v>45041</v>
      </c>
      <c r="C739" t="s">
        <v>751</v>
      </c>
      <c r="D739" t="s">
        <v>10</v>
      </c>
      <c r="E739">
        <v>41</v>
      </c>
      <c r="F739" t="str" cm="1">
        <f t="array" ref="F739">_xlfn.IFS(E739&lt;=35, "18-35", E739&lt;=50, "36-50", E739&lt;=65, "51-65", TRUE, "Over 65")</f>
        <v>36-50</v>
      </c>
      <c r="G739" t="s">
        <v>14</v>
      </c>
      <c r="H739">
        <v>2</v>
      </c>
      <c r="I739" s="2">
        <v>50</v>
      </c>
      <c r="J739" s="2">
        <v>100</v>
      </c>
    </row>
    <row r="740" spans="1:10" x14ac:dyDescent="0.35">
      <c r="A740">
        <v>739</v>
      </c>
      <c r="B740" s="1">
        <v>45259</v>
      </c>
      <c r="C740" t="s">
        <v>752</v>
      </c>
      <c r="D740" t="s">
        <v>10</v>
      </c>
      <c r="E740">
        <v>36</v>
      </c>
      <c r="F740" t="str" cm="1">
        <f t="array" ref="F740">_xlfn.IFS(E740&lt;=35, "18-35", E740&lt;=50, "36-50", E740&lt;=65, "51-65", TRUE, "Over 65")</f>
        <v>36-50</v>
      </c>
      <c r="G740" t="s">
        <v>11</v>
      </c>
      <c r="H740">
        <v>1</v>
      </c>
      <c r="I740" s="2">
        <v>25</v>
      </c>
      <c r="J740" s="2">
        <v>25</v>
      </c>
    </row>
    <row r="741" spans="1:10" x14ac:dyDescent="0.35">
      <c r="A741">
        <v>740</v>
      </c>
      <c r="B741" s="1">
        <v>44962</v>
      </c>
      <c r="C741" t="s">
        <v>753</v>
      </c>
      <c r="D741" t="s">
        <v>13</v>
      </c>
      <c r="E741">
        <v>25</v>
      </c>
      <c r="F741" t="str" cm="1">
        <f t="array" ref="F741">_xlfn.IFS(E741&lt;=35, "18-35", E741&lt;=50, "36-50", E741&lt;=65, "51-65", TRUE, "Over 65")</f>
        <v>18-35</v>
      </c>
      <c r="G741" t="s">
        <v>11</v>
      </c>
      <c r="H741">
        <v>4</v>
      </c>
      <c r="I741" s="2">
        <v>50</v>
      </c>
      <c r="J741" s="2">
        <v>200</v>
      </c>
    </row>
    <row r="742" spans="1:10" x14ac:dyDescent="0.35">
      <c r="A742">
        <v>741</v>
      </c>
      <c r="B742" s="1">
        <v>45260</v>
      </c>
      <c r="C742" t="s">
        <v>754</v>
      </c>
      <c r="D742" t="s">
        <v>10</v>
      </c>
      <c r="E742">
        <v>48</v>
      </c>
      <c r="F742" t="str" cm="1">
        <f t="array" ref="F742">_xlfn.IFS(E742&lt;=35, "18-35", E742&lt;=50, "36-50", E742&lt;=65, "51-65", TRUE, "Over 65")</f>
        <v>36-50</v>
      </c>
      <c r="G742" t="s">
        <v>14</v>
      </c>
      <c r="H742">
        <v>1</v>
      </c>
      <c r="I742" s="2">
        <v>300</v>
      </c>
      <c r="J742" s="2">
        <v>300</v>
      </c>
    </row>
    <row r="743" spans="1:10" x14ac:dyDescent="0.35">
      <c r="A743">
        <v>742</v>
      </c>
      <c r="B743" s="1">
        <v>44947</v>
      </c>
      <c r="C743" t="s">
        <v>755</v>
      </c>
      <c r="D743" t="s">
        <v>13</v>
      </c>
      <c r="E743">
        <v>38</v>
      </c>
      <c r="F743" t="str" cm="1">
        <f t="array" ref="F743">_xlfn.IFS(E743&lt;=35, "18-35", E743&lt;=50, "36-50", E743&lt;=65, "51-65", TRUE, "Over 65")</f>
        <v>36-50</v>
      </c>
      <c r="G743" t="s">
        <v>16</v>
      </c>
      <c r="H743">
        <v>4</v>
      </c>
      <c r="I743" s="2">
        <v>500</v>
      </c>
      <c r="J743" s="2">
        <v>2000</v>
      </c>
    </row>
    <row r="744" spans="1:10" x14ac:dyDescent="0.35">
      <c r="A744">
        <v>743</v>
      </c>
      <c r="B744" s="1">
        <v>44942</v>
      </c>
      <c r="C744" t="s">
        <v>756</v>
      </c>
      <c r="D744" t="s">
        <v>13</v>
      </c>
      <c r="E744">
        <v>34</v>
      </c>
      <c r="F744" t="str" cm="1">
        <f t="array" ref="F744">_xlfn.IFS(E744&lt;=35, "18-35", E744&lt;=50, "36-50", E744&lt;=65, "51-65", TRUE, "Over 65")</f>
        <v>18-35</v>
      </c>
      <c r="G744" t="s">
        <v>11</v>
      </c>
      <c r="H744">
        <v>4</v>
      </c>
      <c r="I744" s="2">
        <v>500</v>
      </c>
      <c r="J744" s="2">
        <v>2000</v>
      </c>
    </row>
    <row r="745" spans="1:10" x14ac:dyDescent="0.35">
      <c r="A745">
        <v>744</v>
      </c>
      <c r="B745" s="1">
        <v>45053</v>
      </c>
      <c r="C745" t="s">
        <v>757</v>
      </c>
      <c r="D745" t="s">
        <v>10</v>
      </c>
      <c r="E745">
        <v>40</v>
      </c>
      <c r="F745" t="str" cm="1">
        <f t="array" ref="F745">_xlfn.IFS(E745&lt;=35, "18-35", E745&lt;=50, "36-50", E745&lt;=65, "51-65", TRUE, "Over 65")</f>
        <v>36-50</v>
      </c>
      <c r="G745" t="s">
        <v>16</v>
      </c>
      <c r="H745">
        <v>1</v>
      </c>
      <c r="I745" s="2">
        <v>25</v>
      </c>
      <c r="J745" s="2">
        <v>25</v>
      </c>
    </row>
    <row r="746" spans="1:10" x14ac:dyDescent="0.35">
      <c r="A746">
        <v>745</v>
      </c>
      <c r="B746" s="1">
        <v>45029</v>
      </c>
      <c r="C746" t="s">
        <v>758</v>
      </c>
      <c r="D746" t="s">
        <v>10</v>
      </c>
      <c r="E746">
        <v>54</v>
      </c>
      <c r="F746" t="str" cm="1">
        <f t="array" ref="F746">_xlfn.IFS(E746&lt;=35, "18-35", E746&lt;=50, "36-50", E746&lt;=65, "51-65", TRUE, "Over 65")</f>
        <v>51-65</v>
      </c>
      <c r="G746" t="s">
        <v>11</v>
      </c>
      <c r="H746">
        <v>2</v>
      </c>
      <c r="I746" s="2">
        <v>50</v>
      </c>
      <c r="J746" s="2">
        <v>100</v>
      </c>
    </row>
    <row r="747" spans="1:10" x14ac:dyDescent="0.35">
      <c r="A747">
        <v>746</v>
      </c>
      <c r="B747" s="1">
        <v>44937</v>
      </c>
      <c r="C747" t="s">
        <v>759</v>
      </c>
      <c r="D747" t="s">
        <v>13</v>
      </c>
      <c r="E747">
        <v>33</v>
      </c>
      <c r="F747" t="str" cm="1">
        <f t="array" ref="F747">_xlfn.IFS(E747&lt;=35, "18-35", E747&lt;=50, "36-50", E747&lt;=65, "51-65", TRUE, "Over 65")</f>
        <v>18-35</v>
      </c>
      <c r="G747" t="s">
        <v>14</v>
      </c>
      <c r="H747">
        <v>3</v>
      </c>
      <c r="I747" s="2">
        <v>30</v>
      </c>
      <c r="J747" s="2">
        <v>90</v>
      </c>
    </row>
    <row r="748" spans="1:10" x14ac:dyDescent="0.35">
      <c r="A748">
        <v>747</v>
      </c>
      <c r="B748" s="1">
        <v>45245</v>
      </c>
      <c r="C748" t="s">
        <v>760</v>
      </c>
      <c r="D748" t="s">
        <v>10</v>
      </c>
      <c r="E748">
        <v>23</v>
      </c>
      <c r="F748" t="str" cm="1">
        <f t="array" ref="F748">_xlfn.IFS(E748&lt;=35, "18-35", E748&lt;=50, "36-50", E748&lt;=65, "51-65", TRUE, "Over 65")</f>
        <v>18-35</v>
      </c>
      <c r="G748" t="s">
        <v>11</v>
      </c>
      <c r="H748">
        <v>1</v>
      </c>
      <c r="I748" s="2">
        <v>30</v>
      </c>
      <c r="J748" s="2">
        <v>30</v>
      </c>
    </row>
    <row r="749" spans="1:10" x14ac:dyDescent="0.35">
      <c r="A749">
        <v>748</v>
      </c>
      <c r="B749" s="1">
        <v>45005</v>
      </c>
      <c r="C749" t="s">
        <v>761</v>
      </c>
      <c r="D749" t="s">
        <v>10</v>
      </c>
      <c r="E749">
        <v>25</v>
      </c>
      <c r="F749" t="str" cm="1">
        <f t="array" ref="F749">_xlfn.IFS(E749&lt;=35, "18-35", E749&lt;=50, "36-50", E749&lt;=65, "51-65", TRUE, "Over 65")</f>
        <v>18-35</v>
      </c>
      <c r="G749" t="s">
        <v>14</v>
      </c>
      <c r="H749">
        <v>3</v>
      </c>
      <c r="I749" s="2">
        <v>50</v>
      </c>
      <c r="J749" s="2">
        <v>150</v>
      </c>
    </row>
    <row r="750" spans="1:10" x14ac:dyDescent="0.35">
      <c r="A750">
        <v>749</v>
      </c>
      <c r="B750" s="1">
        <v>45049</v>
      </c>
      <c r="C750" t="s">
        <v>762</v>
      </c>
      <c r="D750" t="s">
        <v>10</v>
      </c>
      <c r="E750">
        <v>42</v>
      </c>
      <c r="F750" t="str" cm="1">
        <f t="array" ref="F750">_xlfn.IFS(E750&lt;=35, "18-35", E750&lt;=50, "36-50", E750&lt;=65, "51-65", TRUE, "Over 65")</f>
        <v>36-50</v>
      </c>
      <c r="G750" t="s">
        <v>11</v>
      </c>
      <c r="H750">
        <v>1</v>
      </c>
      <c r="I750" s="2">
        <v>30</v>
      </c>
      <c r="J750" s="2">
        <v>30</v>
      </c>
    </row>
    <row r="751" spans="1:10" x14ac:dyDescent="0.35">
      <c r="A751">
        <v>750</v>
      </c>
      <c r="B751" s="1">
        <v>44991</v>
      </c>
      <c r="C751" t="s">
        <v>763</v>
      </c>
      <c r="D751" t="s">
        <v>13</v>
      </c>
      <c r="E751">
        <v>35</v>
      </c>
      <c r="F751" t="str" cm="1">
        <f t="array" ref="F751">_xlfn.IFS(E751&lt;=35, "18-35", E751&lt;=50, "36-50", E751&lt;=65, "51-65", TRUE, "Over 65")</f>
        <v>18-35</v>
      </c>
      <c r="G751" t="s">
        <v>14</v>
      </c>
      <c r="H751">
        <v>3</v>
      </c>
      <c r="I751" s="2">
        <v>25</v>
      </c>
      <c r="J751" s="2">
        <v>75</v>
      </c>
    </row>
    <row r="752" spans="1:10" x14ac:dyDescent="0.35">
      <c r="A752">
        <v>751</v>
      </c>
      <c r="B752" s="1">
        <v>45169</v>
      </c>
      <c r="C752" t="s">
        <v>764</v>
      </c>
      <c r="D752" t="s">
        <v>13</v>
      </c>
      <c r="E752">
        <v>42</v>
      </c>
      <c r="F752" t="str" cm="1">
        <f t="array" ref="F752">_xlfn.IFS(E752&lt;=35, "18-35", E752&lt;=50, "36-50", E752&lt;=65, "51-65", TRUE, "Over 65")</f>
        <v>36-50</v>
      </c>
      <c r="G752" t="s">
        <v>14</v>
      </c>
      <c r="H752">
        <v>2</v>
      </c>
      <c r="I752" s="2">
        <v>25</v>
      </c>
      <c r="J752" s="2">
        <v>50</v>
      </c>
    </row>
    <row r="753" spans="1:10" x14ac:dyDescent="0.35">
      <c r="A753">
        <v>752</v>
      </c>
      <c r="B753" s="1">
        <v>45269</v>
      </c>
      <c r="C753" t="s">
        <v>765</v>
      </c>
      <c r="D753" t="s">
        <v>10</v>
      </c>
      <c r="E753">
        <v>29</v>
      </c>
      <c r="F753" t="str" cm="1">
        <f t="array" ref="F753">_xlfn.IFS(E753&lt;=35, "18-35", E753&lt;=50, "36-50", E753&lt;=65, "51-65", TRUE, "Over 65")</f>
        <v>18-35</v>
      </c>
      <c r="G753" t="s">
        <v>14</v>
      </c>
      <c r="H753">
        <v>2</v>
      </c>
      <c r="I753" s="2">
        <v>50</v>
      </c>
      <c r="J753" s="2">
        <v>100</v>
      </c>
    </row>
    <row r="754" spans="1:10" x14ac:dyDescent="0.35">
      <c r="A754">
        <v>753</v>
      </c>
      <c r="B754" s="1">
        <v>44985</v>
      </c>
      <c r="C754" t="s">
        <v>766</v>
      </c>
      <c r="D754" t="s">
        <v>13</v>
      </c>
      <c r="E754">
        <v>32</v>
      </c>
      <c r="F754" t="str" cm="1">
        <f t="array" ref="F754">_xlfn.IFS(E754&lt;=35, "18-35", E754&lt;=50, "36-50", E754&lt;=65, "51-65", TRUE, "Over 65")</f>
        <v>18-35</v>
      </c>
      <c r="G754" t="s">
        <v>14</v>
      </c>
      <c r="H754">
        <v>1</v>
      </c>
      <c r="I754" s="2">
        <v>30</v>
      </c>
      <c r="J754" s="2">
        <v>30</v>
      </c>
    </row>
    <row r="755" spans="1:10" x14ac:dyDescent="0.35">
      <c r="A755">
        <v>754</v>
      </c>
      <c r="B755" s="1">
        <v>45215</v>
      </c>
      <c r="C755" t="s">
        <v>767</v>
      </c>
      <c r="D755" t="s">
        <v>13</v>
      </c>
      <c r="E755">
        <v>43</v>
      </c>
      <c r="F755" t="str" cm="1">
        <f t="array" ref="F755">_xlfn.IFS(E755&lt;=35, "18-35", E755&lt;=50, "36-50", E755&lt;=65, "51-65", TRUE, "Over 65")</f>
        <v>36-50</v>
      </c>
      <c r="G755" t="s">
        <v>16</v>
      </c>
      <c r="H755">
        <v>4</v>
      </c>
      <c r="I755" s="2">
        <v>25</v>
      </c>
      <c r="J755" s="2">
        <v>100</v>
      </c>
    </row>
    <row r="756" spans="1:10" x14ac:dyDescent="0.35">
      <c r="A756">
        <v>755</v>
      </c>
      <c r="B756" s="1">
        <v>45038</v>
      </c>
      <c r="C756" t="s">
        <v>768</v>
      </c>
      <c r="D756" t="s">
        <v>13</v>
      </c>
      <c r="E756">
        <v>58</v>
      </c>
      <c r="F756" t="str" cm="1">
        <f t="array" ref="F756">_xlfn.IFS(E756&lt;=35, "18-35", E756&lt;=50, "36-50", E756&lt;=65, "51-65", TRUE, "Over 65")</f>
        <v>51-65</v>
      </c>
      <c r="G756" t="s">
        <v>14</v>
      </c>
      <c r="H756">
        <v>3</v>
      </c>
      <c r="I756" s="2">
        <v>25</v>
      </c>
      <c r="J756" s="2">
        <v>75</v>
      </c>
    </row>
    <row r="757" spans="1:10" x14ac:dyDescent="0.35">
      <c r="A757">
        <v>756</v>
      </c>
      <c r="B757" s="1">
        <v>45165</v>
      </c>
      <c r="C757" t="s">
        <v>769</v>
      </c>
      <c r="D757" t="s">
        <v>13</v>
      </c>
      <c r="E757">
        <v>62</v>
      </c>
      <c r="F757" t="str" cm="1">
        <f t="array" ref="F757">_xlfn.IFS(E757&lt;=35, "18-35", E757&lt;=50, "36-50", E757&lt;=65, "51-65", TRUE, "Over 65")</f>
        <v>51-65</v>
      </c>
      <c r="G757" t="s">
        <v>16</v>
      </c>
      <c r="H757">
        <v>4</v>
      </c>
      <c r="I757" s="2">
        <v>300</v>
      </c>
      <c r="J757" s="2">
        <v>1200</v>
      </c>
    </row>
    <row r="758" spans="1:10" x14ac:dyDescent="0.35">
      <c r="A758">
        <v>757</v>
      </c>
      <c r="B758" s="1">
        <v>45285</v>
      </c>
      <c r="C758" t="s">
        <v>770</v>
      </c>
      <c r="D758" t="s">
        <v>13</v>
      </c>
      <c r="E758">
        <v>43</v>
      </c>
      <c r="F758" t="str" cm="1">
        <f t="array" ref="F758">_xlfn.IFS(E758&lt;=35, "18-35", E758&lt;=50, "36-50", E758&lt;=65, "51-65", TRUE, "Over 65")</f>
        <v>36-50</v>
      </c>
      <c r="G758" t="s">
        <v>16</v>
      </c>
      <c r="H758">
        <v>4</v>
      </c>
      <c r="I758" s="2">
        <v>300</v>
      </c>
      <c r="J758" s="2">
        <v>1200</v>
      </c>
    </row>
    <row r="759" spans="1:10" x14ac:dyDescent="0.35">
      <c r="A759">
        <v>758</v>
      </c>
      <c r="B759" s="1">
        <v>45058</v>
      </c>
      <c r="C759" t="s">
        <v>771</v>
      </c>
      <c r="D759" t="s">
        <v>10</v>
      </c>
      <c r="E759">
        <v>64</v>
      </c>
      <c r="F759" t="str" cm="1">
        <f t="array" ref="F759">_xlfn.IFS(E759&lt;=35, "18-35", E759&lt;=50, "36-50", E759&lt;=65, "51-65", TRUE, "Over 65")</f>
        <v>51-65</v>
      </c>
      <c r="G759" t="s">
        <v>14</v>
      </c>
      <c r="H759">
        <v>4</v>
      </c>
      <c r="I759" s="2">
        <v>25</v>
      </c>
      <c r="J759" s="2">
        <v>100</v>
      </c>
    </row>
    <row r="760" spans="1:10" x14ac:dyDescent="0.35">
      <c r="A760">
        <v>759</v>
      </c>
      <c r="B760" s="1">
        <v>45115</v>
      </c>
      <c r="C760" t="s">
        <v>772</v>
      </c>
      <c r="D760" t="s">
        <v>10</v>
      </c>
      <c r="E760">
        <v>49</v>
      </c>
      <c r="F760" t="str" cm="1">
        <f t="array" ref="F760">_xlfn.IFS(E760&lt;=35, "18-35", E760&lt;=50, "36-50", E760&lt;=65, "51-65", TRUE, "Over 65")</f>
        <v>36-50</v>
      </c>
      <c r="G760" t="s">
        <v>16</v>
      </c>
      <c r="H760">
        <v>2</v>
      </c>
      <c r="I760" s="2">
        <v>50</v>
      </c>
      <c r="J760" s="2">
        <v>100</v>
      </c>
    </row>
    <row r="761" spans="1:10" x14ac:dyDescent="0.35">
      <c r="A761">
        <v>760</v>
      </c>
      <c r="B761" s="1">
        <v>45012</v>
      </c>
      <c r="C761" t="s">
        <v>773</v>
      </c>
      <c r="D761" t="s">
        <v>10</v>
      </c>
      <c r="E761">
        <v>27</v>
      </c>
      <c r="F761" t="str" cm="1">
        <f t="array" ref="F761">_xlfn.IFS(E761&lt;=35, "18-35", E761&lt;=50, "36-50", E761&lt;=65, "51-65", TRUE, "Over 65")</f>
        <v>18-35</v>
      </c>
      <c r="G761" t="s">
        <v>11</v>
      </c>
      <c r="H761">
        <v>1</v>
      </c>
      <c r="I761" s="2">
        <v>500</v>
      </c>
      <c r="J761" s="2">
        <v>500</v>
      </c>
    </row>
    <row r="762" spans="1:10" x14ac:dyDescent="0.35">
      <c r="A762">
        <v>761</v>
      </c>
      <c r="B762" s="1">
        <v>45237</v>
      </c>
      <c r="C762" t="s">
        <v>774</v>
      </c>
      <c r="D762" t="s">
        <v>13</v>
      </c>
      <c r="E762">
        <v>33</v>
      </c>
      <c r="F762" t="str" cm="1">
        <f t="array" ref="F762">_xlfn.IFS(E762&lt;=35, "18-35", E762&lt;=50, "36-50", E762&lt;=65, "51-65", TRUE, "Over 65")</f>
        <v>18-35</v>
      </c>
      <c r="G762" t="s">
        <v>14</v>
      </c>
      <c r="H762">
        <v>1</v>
      </c>
      <c r="I762" s="2">
        <v>500</v>
      </c>
      <c r="J762" s="2">
        <v>500</v>
      </c>
    </row>
    <row r="763" spans="1:10" x14ac:dyDescent="0.35">
      <c r="A763">
        <v>762</v>
      </c>
      <c r="B763" s="1">
        <v>45237</v>
      </c>
      <c r="C763" t="s">
        <v>775</v>
      </c>
      <c r="D763" t="s">
        <v>13</v>
      </c>
      <c r="E763">
        <v>24</v>
      </c>
      <c r="F763" t="str" cm="1">
        <f t="array" ref="F763">_xlfn.IFS(E763&lt;=35, "18-35", E763&lt;=50, "36-50", E763&lt;=65, "51-65", TRUE, "Over 65")</f>
        <v>18-35</v>
      </c>
      <c r="G763" t="s">
        <v>16</v>
      </c>
      <c r="H763">
        <v>2</v>
      </c>
      <c r="I763" s="2">
        <v>25</v>
      </c>
      <c r="J763" s="2">
        <v>50</v>
      </c>
    </row>
    <row r="764" spans="1:10" x14ac:dyDescent="0.35">
      <c r="A764">
        <v>763</v>
      </c>
      <c r="B764" s="1">
        <v>44985</v>
      </c>
      <c r="C764" t="s">
        <v>776</v>
      </c>
      <c r="D764" t="s">
        <v>10</v>
      </c>
      <c r="E764">
        <v>34</v>
      </c>
      <c r="F764" t="str" cm="1">
        <f t="array" ref="F764">_xlfn.IFS(E764&lt;=35, "18-35", E764&lt;=50, "36-50", E764&lt;=65, "51-65", TRUE, "Over 65")</f>
        <v>18-35</v>
      </c>
      <c r="G764" t="s">
        <v>14</v>
      </c>
      <c r="H764">
        <v>2</v>
      </c>
      <c r="I764" s="2">
        <v>25</v>
      </c>
      <c r="J764" s="2">
        <v>50</v>
      </c>
    </row>
    <row r="765" spans="1:10" x14ac:dyDescent="0.35">
      <c r="A765">
        <v>764</v>
      </c>
      <c r="B765" s="1">
        <v>45010</v>
      </c>
      <c r="C765" t="s">
        <v>777</v>
      </c>
      <c r="D765" t="s">
        <v>13</v>
      </c>
      <c r="E765">
        <v>40</v>
      </c>
      <c r="F765" t="str" cm="1">
        <f t="array" ref="F765">_xlfn.IFS(E765&lt;=35, "18-35", E765&lt;=50, "36-50", E765&lt;=65, "51-65", TRUE, "Over 65")</f>
        <v>36-50</v>
      </c>
      <c r="G765" t="s">
        <v>14</v>
      </c>
      <c r="H765">
        <v>1</v>
      </c>
      <c r="I765" s="2">
        <v>25</v>
      </c>
      <c r="J765" s="2">
        <v>25</v>
      </c>
    </row>
    <row r="766" spans="1:10" x14ac:dyDescent="0.35">
      <c r="A766">
        <v>765</v>
      </c>
      <c r="B766" s="1">
        <v>45086</v>
      </c>
      <c r="C766" t="s">
        <v>778</v>
      </c>
      <c r="D766" t="s">
        <v>10</v>
      </c>
      <c r="E766">
        <v>43</v>
      </c>
      <c r="F766" t="str" cm="1">
        <f t="array" ref="F766">_xlfn.IFS(E766&lt;=35, "18-35", E766&lt;=50, "36-50", E766&lt;=65, "51-65", TRUE, "Over 65")</f>
        <v>36-50</v>
      </c>
      <c r="G766" t="s">
        <v>14</v>
      </c>
      <c r="H766">
        <v>4</v>
      </c>
      <c r="I766" s="2">
        <v>50</v>
      </c>
      <c r="J766" s="2">
        <v>200</v>
      </c>
    </row>
    <row r="767" spans="1:10" x14ac:dyDescent="0.35">
      <c r="A767">
        <v>766</v>
      </c>
      <c r="B767" s="1">
        <v>44982</v>
      </c>
      <c r="C767" t="s">
        <v>779</v>
      </c>
      <c r="D767" t="s">
        <v>10</v>
      </c>
      <c r="E767">
        <v>38</v>
      </c>
      <c r="F767" t="str" cm="1">
        <f t="array" ref="F767">_xlfn.IFS(E767&lt;=35, "18-35", E767&lt;=50, "36-50", E767&lt;=65, "51-65", TRUE, "Over 65")</f>
        <v>36-50</v>
      </c>
      <c r="G767" t="s">
        <v>16</v>
      </c>
      <c r="H767">
        <v>3</v>
      </c>
      <c r="I767" s="2">
        <v>300</v>
      </c>
      <c r="J767" s="2">
        <v>900</v>
      </c>
    </row>
    <row r="768" spans="1:10" x14ac:dyDescent="0.35">
      <c r="A768">
        <v>767</v>
      </c>
      <c r="B768" s="1">
        <v>45223</v>
      </c>
      <c r="C768" t="s">
        <v>780</v>
      </c>
      <c r="D768" t="s">
        <v>10</v>
      </c>
      <c r="E768">
        <v>39</v>
      </c>
      <c r="F768" t="str" cm="1">
        <f t="array" ref="F768">_xlfn.IFS(E768&lt;=35, "18-35", E768&lt;=50, "36-50", E768&lt;=65, "51-65", TRUE, "Over 65")</f>
        <v>36-50</v>
      </c>
      <c r="G768" t="s">
        <v>11</v>
      </c>
      <c r="H768">
        <v>3</v>
      </c>
      <c r="I768" s="2">
        <v>25</v>
      </c>
      <c r="J768" s="2">
        <v>75</v>
      </c>
    </row>
    <row r="769" spans="1:10" x14ac:dyDescent="0.35">
      <c r="A769">
        <v>768</v>
      </c>
      <c r="B769" s="1">
        <v>44940</v>
      </c>
      <c r="C769" t="s">
        <v>781</v>
      </c>
      <c r="D769" t="s">
        <v>13</v>
      </c>
      <c r="E769">
        <v>24</v>
      </c>
      <c r="F769" t="str" cm="1">
        <f t="array" ref="F769">_xlfn.IFS(E769&lt;=35, "18-35", E769&lt;=50, "36-50", E769&lt;=65, "51-65", TRUE, "Over 65")</f>
        <v>18-35</v>
      </c>
      <c r="G769" t="s">
        <v>11</v>
      </c>
      <c r="H769">
        <v>3</v>
      </c>
      <c r="I769" s="2">
        <v>25</v>
      </c>
      <c r="J769" s="2">
        <v>75</v>
      </c>
    </row>
    <row r="770" spans="1:10" x14ac:dyDescent="0.35">
      <c r="A770">
        <v>769</v>
      </c>
      <c r="B770" s="1">
        <v>45086</v>
      </c>
      <c r="C770" t="s">
        <v>782</v>
      </c>
      <c r="D770" t="s">
        <v>13</v>
      </c>
      <c r="E770">
        <v>31</v>
      </c>
      <c r="F770" t="str" cm="1">
        <f t="array" ref="F770">_xlfn.IFS(E770&lt;=35, "18-35", E770&lt;=50, "36-50", E770&lt;=65, "51-65", TRUE, "Over 65")</f>
        <v>18-35</v>
      </c>
      <c r="G770" t="s">
        <v>16</v>
      </c>
      <c r="H770">
        <v>4</v>
      </c>
      <c r="I770" s="2">
        <v>30</v>
      </c>
      <c r="J770" s="2">
        <v>120</v>
      </c>
    </row>
    <row r="771" spans="1:10" x14ac:dyDescent="0.35">
      <c r="A771">
        <v>770</v>
      </c>
      <c r="B771" s="1">
        <v>45221</v>
      </c>
      <c r="C771" t="s">
        <v>783</v>
      </c>
      <c r="D771" t="s">
        <v>10</v>
      </c>
      <c r="E771">
        <v>32</v>
      </c>
      <c r="F771" t="str" cm="1">
        <f t="array" ref="F771">_xlfn.IFS(E771&lt;=35, "18-35", E771&lt;=50, "36-50", E771&lt;=65, "51-65", TRUE, "Over 65")</f>
        <v>18-35</v>
      </c>
      <c r="G771" t="s">
        <v>14</v>
      </c>
      <c r="H771">
        <v>1</v>
      </c>
      <c r="I771" s="2">
        <v>50</v>
      </c>
      <c r="J771" s="2">
        <v>50</v>
      </c>
    </row>
    <row r="772" spans="1:10" x14ac:dyDescent="0.35">
      <c r="A772">
        <v>771</v>
      </c>
      <c r="B772" s="1">
        <v>45273</v>
      </c>
      <c r="C772" t="s">
        <v>784</v>
      </c>
      <c r="D772" t="s">
        <v>10</v>
      </c>
      <c r="E772">
        <v>24</v>
      </c>
      <c r="F772" t="str" cm="1">
        <f t="array" ref="F772">_xlfn.IFS(E772&lt;=35, "18-35", E772&lt;=50, "36-50", E772&lt;=65, "51-65", TRUE, "Over 65")</f>
        <v>18-35</v>
      </c>
      <c r="G772" t="s">
        <v>16</v>
      </c>
      <c r="H772">
        <v>2</v>
      </c>
      <c r="I772" s="2">
        <v>25</v>
      </c>
      <c r="J772" s="2">
        <v>50</v>
      </c>
    </row>
    <row r="773" spans="1:10" x14ac:dyDescent="0.35">
      <c r="A773">
        <v>772</v>
      </c>
      <c r="B773" s="1">
        <v>45119</v>
      </c>
      <c r="C773" t="s">
        <v>785</v>
      </c>
      <c r="D773" t="s">
        <v>10</v>
      </c>
      <c r="E773">
        <v>26</v>
      </c>
      <c r="F773" t="str" cm="1">
        <f t="array" ref="F773">_xlfn.IFS(E773&lt;=35, "18-35", E773&lt;=50, "36-50", E773&lt;=65, "51-65", TRUE, "Over 65")</f>
        <v>18-35</v>
      </c>
      <c r="G773" t="s">
        <v>16</v>
      </c>
      <c r="H773">
        <v>1</v>
      </c>
      <c r="I773" s="2">
        <v>30</v>
      </c>
      <c r="J773" s="2">
        <v>30</v>
      </c>
    </row>
    <row r="774" spans="1:10" x14ac:dyDescent="0.35">
      <c r="A774">
        <v>773</v>
      </c>
      <c r="B774" s="1">
        <v>45130</v>
      </c>
      <c r="C774" t="s">
        <v>786</v>
      </c>
      <c r="D774" t="s">
        <v>10</v>
      </c>
      <c r="E774">
        <v>25</v>
      </c>
      <c r="F774" t="str" cm="1">
        <f t="array" ref="F774">_xlfn.IFS(E774&lt;=35, "18-35", E774&lt;=50, "36-50", E774&lt;=65, "51-65", TRUE, "Over 65")</f>
        <v>18-35</v>
      </c>
      <c r="G774" t="s">
        <v>16</v>
      </c>
      <c r="H774">
        <v>4</v>
      </c>
      <c r="I774" s="2">
        <v>500</v>
      </c>
      <c r="J774" s="2">
        <v>2000</v>
      </c>
    </row>
    <row r="775" spans="1:10" x14ac:dyDescent="0.35">
      <c r="A775">
        <v>774</v>
      </c>
      <c r="B775" s="1">
        <v>45028</v>
      </c>
      <c r="C775" t="s">
        <v>787</v>
      </c>
      <c r="D775" t="s">
        <v>13</v>
      </c>
      <c r="E775">
        <v>40</v>
      </c>
      <c r="F775" t="str" cm="1">
        <f t="array" ref="F775">_xlfn.IFS(E775&lt;=35, "18-35", E775&lt;=50, "36-50", E775&lt;=65, "51-65", TRUE, "Over 65")</f>
        <v>36-50</v>
      </c>
      <c r="G775" t="s">
        <v>14</v>
      </c>
      <c r="H775">
        <v>2</v>
      </c>
      <c r="I775" s="2">
        <v>25</v>
      </c>
      <c r="J775" s="2">
        <v>50</v>
      </c>
    </row>
    <row r="776" spans="1:10" x14ac:dyDescent="0.35">
      <c r="A776">
        <v>775</v>
      </c>
      <c r="B776" s="1">
        <v>44965</v>
      </c>
      <c r="C776" t="s">
        <v>788</v>
      </c>
      <c r="D776" t="s">
        <v>13</v>
      </c>
      <c r="E776">
        <v>46</v>
      </c>
      <c r="F776" t="str" cm="1">
        <f t="array" ref="F776">_xlfn.IFS(E776&lt;=35, "18-35", E776&lt;=50, "36-50", E776&lt;=65, "51-65", TRUE, "Over 65")</f>
        <v>36-50</v>
      </c>
      <c r="G776" t="s">
        <v>16</v>
      </c>
      <c r="H776">
        <v>4</v>
      </c>
      <c r="I776" s="2">
        <v>25</v>
      </c>
      <c r="J776" s="2">
        <v>100</v>
      </c>
    </row>
    <row r="777" spans="1:10" x14ac:dyDescent="0.35">
      <c r="A777">
        <v>776</v>
      </c>
      <c r="B777" s="1">
        <v>45230</v>
      </c>
      <c r="C777" t="s">
        <v>789</v>
      </c>
      <c r="D777" t="s">
        <v>10</v>
      </c>
      <c r="E777">
        <v>35</v>
      </c>
      <c r="F777" t="str" cm="1">
        <f t="array" ref="F777">_xlfn.IFS(E777&lt;=35, "18-35", E777&lt;=50, "36-50", E777&lt;=65, "51-65", TRUE, "Over 65")</f>
        <v>18-35</v>
      </c>
      <c r="G777" t="s">
        <v>14</v>
      </c>
      <c r="H777">
        <v>3</v>
      </c>
      <c r="I777" s="2">
        <v>30</v>
      </c>
      <c r="J777" s="2">
        <v>90</v>
      </c>
    </row>
    <row r="778" spans="1:10" x14ac:dyDescent="0.35">
      <c r="A778">
        <v>777</v>
      </c>
      <c r="B778" s="1">
        <v>45280</v>
      </c>
      <c r="C778" t="s">
        <v>790</v>
      </c>
      <c r="D778" t="s">
        <v>10</v>
      </c>
      <c r="E778">
        <v>48</v>
      </c>
      <c r="F778" t="str" cm="1">
        <f t="array" ref="F778">_xlfn.IFS(E778&lt;=35, "18-35", E778&lt;=50, "36-50", E778&lt;=65, "51-65", TRUE, "Over 65")</f>
        <v>36-50</v>
      </c>
      <c r="G778" t="s">
        <v>16</v>
      </c>
      <c r="H778">
        <v>3</v>
      </c>
      <c r="I778" s="2">
        <v>50</v>
      </c>
      <c r="J778" s="2">
        <v>150</v>
      </c>
    </row>
    <row r="779" spans="1:10" x14ac:dyDescent="0.35">
      <c r="A779">
        <v>778</v>
      </c>
      <c r="B779" s="1">
        <v>45248</v>
      </c>
      <c r="C779" t="s">
        <v>791</v>
      </c>
      <c r="D779" t="s">
        <v>13</v>
      </c>
      <c r="E779">
        <v>47</v>
      </c>
      <c r="F779" t="str" cm="1">
        <f t="array" ref="F779">_xlfn.IFS(E779&lt;=35, "18-35", E779&lt;=50, "36-50", E779&lt;=65, "51-65", TRUE, "Over 65")</f>
        <v>36-50</v>
      </c>
      <c r="G779" t="s">
        <v>11</v>
      </c>
      <c r="H779">
        <v>4</v>
      </c>
      <c r="I779" s="2">
        <v>25</v>
      </c>
      <c r="J779" s="2">
        <v>100</v>
      </c>
    </row>
    <row r="780" spans="1:10" x14ac:dyDescent="0.35">
      <c r="A780">
        <v>779</v>
      </c>
      <c r="B780" s="1">
        <v>45051</v>
      </c>
      <c r="C780" t="s">
        <v>792</v>
      </c>
      <c r="D780" t="s">
        <v>13</v>
      </c>
      <c r="E780">
        <v>56</v>
      </c>
      <c r="F780" t="str" cm="1">
        <f t="array" ref="F780">_xlfn.IFS(E780&lt;=35, "18-35", E780&lt;=50, "36-50", E780&lt;=65, "51-65", TRUE, "Over 65")</f>
        <v>51-65</v>
      </c>
      <c r="G780" t="s">
        <v>16</v>
      </c>
      <c r="H780">
        <v>2</v>
      </c>
      <c r="I780" s="2">
        <v>500</v>
      </c>
      <c r="J780" s="2">
        <v>1000</v>
      </c>
    </row>
    <row r="781" spans="1:10" x14ac:dyDescent="0.35">
      <c r="A781">
        <v>780</v>
      </c>
      <c r="B781" s="1">
        <v>44979</v>
      </c>
      <c r="C781" t="s">
        <v>793</v>
      </c>
      <c r="D781" t="s">
        <v>10</v>
      </c>
      <c r="E781">
        <v>52</v>
      </c>
      <c r="F781" t="str" cm="1">
        <f t="array" ref="F781">_xlfn.IFS(E781&lt;=35, "18-35", E781&lt;=50, "36-50", E781&lt;=65, "51-65", TRUE, "Over 65")</f>
        <v>51-65</v>
      </c>
      <c r="G781" t="s">
        <v>16</v>
      </c>
      <c r="H781">
        <v>2</v>
      </c>
      <c r="I781" s="2">
        <v>25</v>
      </c>
      <c r="J781" s="2">
        <v>50</v>
      </c>
    </row>
    <row r="782" spans="1:10" x14ac:dyDescent="0.35">
      <c r="A782">
        <v>781</v>
      </c>
      <c r="B782" s="1">
        <v>45283</v>
      </c>
      <c r="C782" t="s">
        <v>794</v>
      </c>
      <c r="D782" t="s">
        <v>10</v>
      </c>
      <c r="E782">
        <v>35</v>
      </c>
      <c r="F782" t="str" cm="1">
        <f t="array" ref="F782">_xlfn.IFS(E782&lt;=35, "18-35", E782&lt;=50, "36-50", E782&lt;=65, "51-65", TRUE, "Over 65")</f>
        <v>18-35</v>
      </c>
      <c r="G782" t="s">
        <v>11</v>
      </c>
      <c r="H782">
        <v>1</v>
      </c>
      <c r="I782" s="2">
        <v>500</v>
      </c>
      <c r="J782" s="2">
        <v>500</v>
      </c>
    </row>
    <row r="783" spans="1:10" x14ac:dyDescent="0.35">
      <c r="A783">
        <v>782</v>
      </c>
      <c r="B783" s="1">
        <v>45081</v>
      </c>
      <c r="C783" t="s">
        <v>795</v>
      </c>
      <c r="D783" t="s">
        <v>10</v>
      </c>
      <c r="E783">
        <v>59</v>
      </c>
      <c r="F783" t="str" cm="1">
        <f t="array" ref="F783">_xlfn.IFS(E783&lt;=35, "18-35", E783&lt;=50, "36-50", E783&lt;=65, "51-65", TRUE, "Over 65")</f>
        <v>51-65</v>
      </c>
      <c r="G783" t="s">
        <v>14</v>
      </c>
      <c r="H783">
        <v>3</v>
      </c>
      <c r="I783" s="2">
        <v>300</v>
      </c>
      <c r="J783" s="2">
        <v>900</v>
      </c>
    </row>
    <row r="784" spans="1:10" x14ac:dyDescent="0.35">
      <c r="A784">
        <v>783</v>
      </c>
      <c r="B784" s="1">
        <v>45277</v>
      </c>
      <c r="C784" t="s">
        <v>796</v>
      </c>
      <c r="D784" t="s">
        <v>13</v>
      </c>
      <c r="E784">
        <v>56</v>
      </c>
      <c r="F784" t="str" cm="1">
        <f t="array" ref="F784">_xlfn.IFS(E784&lt;=35, "18-35", E784&lt;=50, "36-50", E784&lt;=65, "51-65", TRUE, "Over 65")</f>
        <v>51-65</v>
      </c>
      <c r="G784" t="s">
        <v>14</v>
      </c>
      <c r="H784">
        <v>1</v>
      </c>
      <c r="I784" s="2">
        <v>300</v>
      </c>
      <c r="J784" s="2">
        <v>300</v>
      </c>
    </row>
    <row r="785" spans="1:10" x14ac:dyDescent="0.35">
      <c r="A785">
        <v>784</v>
      </c>
      <c r="B785" s="1">
        <v>45234</v>
      </c>
      <c r="C785" t="s">
        <v>797</v>
      </c>
      <c r="D785" t="s">
        <v>13</v>
      </c>
      <c r="E785">
        <v>34</v>
      </c>
      <c r="F785" t="str" cm="1">
        <f t="array" ref="F785">_xlfn.IFS(E785&lt;=35, "18-35", E785&lt;=50, "36-50", E785&lt;=65, "51-65", TRUE, "Over 65")</f>
        <v>18-35</v>
      </c>
      <c r="G785" t="s">
        <v>16</v>
      </c>
      <c r="H785">
        <v>1</v>
      </c>
      <c r="I785" s="2">
        <v>500</v>
      </c>
      <c r="J785" s="2">
        <v>500</v>
      </c>
    </row>
    <row r="786" spans="1:10" x14ac:dyDescent="0.35">
      <c r="A786">
        <v>785</v>
      </c>
      <c r="B786" s="1">
        <v>44988</v>
      </c>
      <c r="C786" t="s">
        <v>798</v>
      </c>
      <c r="D786" t="s">
        <v>13</v>
      </c>
      <c r="E786">
        <v>31</v>
      </c>
      <c r="F786" t="str" cm="1">
        <f t="array" ref="F786">_xlfn.IFS(E786&lt;=35, "18-35", E786&lt;=50, "36-50", E786&lt;=65, "51-65", TRUE, "Over 65")</f>
        <v>18-35</v>
      </c>
      <c r="G786" t="s">
        <v>11</v>
      </c>
      <c r="H786">
        <v>4</v>
      </c>
      <c r="I786" s="2">
        <v>50</v>
      </c>
      <c r="J786" s="2">
        <v>200</v>
      </c>
    </row>
    <row r="787" spans="1:10" x14ac:dyDescent="0.35">
      <c r="A787">
        <v>786</v>
      </c>
      <c r="B787" s="1">
        <v>45216</v>
      </c>
      <c r="C787" t="s">
        <v>799</v>
      </c>
      <c r="D787" t="s">
        <v>10</v>
      </c>
      <c r="E787">
        <v>48</v>
      </c>
      <c r="F787" t="str" cm="1">
        <f t="array" ref="F787">_xlfn.IFS(E787&lt;=35, "18-35", E787&lt;=50, "36-50", E787&lt;=65, "51-65", TRUE, "Over 65")</f>
        <v>36-50</v>
      </c>
      <c r="G787" t="s">
        <v>14</v>
      </c>
      <c r="H787">
        <v>4</v>
      </c>
      <c r="I787" s="2">
        <v>25</v>
      </c>
      <c r="J787" s="2">
        <v>100</v>
      </c>
    </row>
    <row r="788" spans="1:10" x14ac:dyDescent="0.35">
      <c r="A788">
        <v>787</v>
      </c>
      <c r="B788" s="1">
        <v>44948</v>
      </c>
      <c r="C788" t="s">
        <v>800</v>
      </c>
      <c r="D788" t="s">
        <v>10</v>
      </c>
      <c r="E788">
        <v>41</v>
      </c>
      <c r="F788" t="str" cm="1">
        <f t="array" ref="F788">_xlfn.IFS(E788&lt;=35, "18-35", E788&lt;=50, "36-50", E788&lt;=65, "51-65", TRUE, "Over 65")</f>
        <v>36-50</v>
      </c>
      <c r="G788" t="s">
        <v>16</v>
      </c>
      <c r="H788">
        <v>1</v>
      </c>
      <c r="I788" s="2">
        <v>25</v>
      </c>
      <c r="J788" s="2">
        <v>25</v>
      </c>
    </row>
    <row r="789" spans="1:10" x14ac:dyDescent="0.35">
      <c r="A789">
        <v>788</v>
      </c>
      <c r="B789" s="1">
        <v>45104</v>
      </c>
      <c r="C789" t="s">
        <v>801</v>
      </c>
      <c r="D789" t="s">
        <v>13</v>
      </c>
      <c r="E789">
        <v>52</v>
      </c>
      <c r="F789" t="str" cm="1">
        <f t="array" ref="F789">_xlfn.IFS(E789&lt;=35, "18-35", E789&lt;=50, "36-50", E789&lt;=65, "51-65", TRUE, "Over 65")</f>
        <v>51-65</v>
      </c>
      <c r="G789" t="s">
        <v>11</v>
      </c>
      <c r="H789">
        <v>3</v>
      </c>
      <c r="I789" s="2">
        <v>300</v>
      </c>
      <c r="J789" s="2">
        <v>900</v>
      </c>
    </row>
    <row r="790" spans="1:10" x14ac:dyDescent="0.35">
      <c r="A790">
        <v>789</v>
      </c>
      <c r="B790" s="1">
        <v>45199</v>
      </c>
      <c r="C790" t="s">
        <v>802</v>
      </c>
      <c r="D790" t="s">
        <v>13</v>
      </c>
      <c r="E790">
        <v>61</v>
      </c>
      <c r="F790" t="str" cm="1">
        <f t="array" ref="F790">_xlfn.IFS(E790&lt;=35, "18-35", E790&lt;=50, "36-50", E790&lt;=65, "51-65", TRUE, "Over 65")</f>
        <v>51-65</v>
      </c>
      <c r="G790" t="s">
        <v>14</v>
      </c>
      <c r="H790">
        <v>4</v>
      </c>
      <c r="I790" s="2">
        <v>500</v>
      </c>
      <c r="J790" s="2">
        <v>2000</v>
      </c>
    </row>
    <row r="791" spans="1:10" x14ac:dyDescent="0.35">
      <c r="A791">
        <v>790</v>
      </c>
      <c r="B791" s="1">
        <v>45146</v>
      </c>
      <c r="C791" t="s">
        <v>803</v>
      </c>
      <c r="D791" t="s">
        <v>10</v>
      </c>
      <c r="E791">
        <v>62</v>
      </c>
      <c r="F791" t="str" cm="1">
        <f t="array" ref="F791">_xlfn.IFS(E791&lt;=35, "18-35", E791&lt;=50, "36-50", E791&lt;=65, "51-65", TRUE, "Over 65")</f>
        <v>51-65</v>
      </c>
      <c r="G791" t="s">
        <v>14</v>
      </c>
      <c r="H791">
        <v>1</v>
      </c>
      <c r="I791" s="2">
        <v>25</v>
      </c>
      <c r="J791" s="2">
        <v>25</v>
      </c>
    </row>
    <row r="792" spans="1:10" x14ac:dyDescent="0.35">
      <c r="A792">
        <v>791</v>
      </c>
      <c r="B792" s="1">
        <v>45265</v>
      </c>
      <c r="C792" t="s">
        <v>804</v>
      </c>
      <c r="D792" t="s">
        <v>13</v>
      </c>
      <c r="E792">
        <v>51</v>
      </c>
      <c r="F792" t="str" cm="1">
        <f t="array" ref="F792">_xlfn.IFS(E792&lt;=35, "18-35", E792&lt;=50, "36-50", E792&lt;=65, "51-65", TRUE, "Over 65")</f>
        <v>51-65</v>
      </c>
      <c r="G792" t="s">
        <v>11</v>
      </c>
      <c r="H792">
        <v>1</v>
      </c>
      <c r="I792" s="2">
        <v>25</v>
      </c>
      <c r="J792" s="2">
        <v>25</v>
      </c>
    </row>
    <row r="793" spans="1:10" x14ac:dyDescent="0.35">
      <c r="A793">
        <v>792</v>
      </c>
      <c r="B793" s="1">
        <v>45116</v>
      </c>
      <c r="C793" t="s">
        <v>805</v>
      </c>
      <c r="D793" t="s">
        <v>13</v>
      </c>
      <c r="E793">
        <v>20</v>
      </c>
      <c r="F793" t="str" cm="1">
        <f t="array" ref="F793">_xlfn.IFS(E793&lt;=35, "18-35", E793&lt;=50, "36-50", E793&lt;=65, "51-65", TRUE, "Over 65")</f>
        <v>18-35</v>
      </c>
      <c r="G793" t="s">
        <v>11</v>
      </c>
      <c r="H793">
        <v>1</v>
      </c>
      <c r="I793" s="2">
        <v>50</v>
      </c>
      <c r="J793" s="2">
        <v>50</v>
      </c>
    </row>
    <row r="794" spans="1:10" x14ac:dyDescent="0.35">
      <c r="A794">
        <v>793</v>
      </c>
      <c r="B794" s="1">
        <v>44962</v>
      </c>
      <c r="C794" t="s">
        <v>806</v>
      </c>
      <c r="D794" t="s">
        <v>10</v>
      </c>
      <c r="E794">
        <v>54</v>
      </c>
      <c r="F794" t="str" cm="1">
        <f t="array" ref="F794">_xlfn.IFS(E794&lt;=35, "18-35", E794&lt;=50, "36-50", E794&lt;=65, "51-65", TRUE, "Over 65")</f>
        <v>51-65</v>
      </c>
      <c r="G794" t="s">
        <v>11</v>
      </c>
      <c r="H794">
        <v>1</v>
      </c>
      <c r="I794" s="2">
        <v>30</v>
      </c>
      <c r="J794" s="2">
        <v>30</v>
      </c>
    </row>
    <row r="795" spans="1:10" x14ac:dyDescent="0.35">
      <c r="A795">
        <v>794</v>
      </c>
      <c r="B795" s="1">
        <v>45186</v>
      </c>
      <c r="C795" t="s">
        <v>807</v>
      </c>
      <c r="D795" t="s">
        <v>13</v>
      </c>
      <c r="E795">
        <v>60</v>
      </c>
      <c r="F795" t="str" cm="1">
        <f t="array" ref="F795">_xlfn.IFS(E795&lt;=35, "18-35", E795&lt;=50, "36-50", E795&lt;=65, "51-65", TRUE, "Over 65")</f>
        <v>51-65</v>
      </c>
      <c r="G795" t="s">
        <v>11</v>
      </c>
      <c r="H795">
        <v>1</v>
      </c>
      <c r="I795" s="2">
        <v>300</v>
      </c>
      <c r="J795" s="2">
        <v>300</v>
      </c>
    </row>
    <row r="796" spans="1:10" x14ac:dyDescent="0.35">
      <c r="A796">
        <v>795</v>
      </c>
      <c r="B796" s="1">
        <v>45258</v>
      </c>
      <c r="C796" t="s">
        <v>808</v>
      </c>
      <c r="D796" t="s">
        <v>10</v>
      </c>
      <c r="E796">
        <v>57</v>
      </c>
      <c r="F796" t="str" cm="1">
        <f t="array" ref="F796">_xlfn.IFS(E796&lt;=35, "18-35", E796&lt;=50, "36-50", E796&lt;=65, "51-65", TRUE, "Over 65")</f>
        <v>51-65</v>
      </c>
      <c r="G796" t="s">
        <v>16</v>
      </c>
      <c r="H796">
        <v>1</v>
      </c>
      <c r="I796" s="2">
        <v>300</v>
      </c>
      <c r="J796" s="2">
        <v>300</v>
      </c>
    </row>
    <row r="797" spans="1:10" x14ac:dyDescent="0.35">
      <c r="A797">
        <v>796</v>
      </c>
      <c r="B797" s="1">
        <v>45101</v>
      </c>
      <c r="C797" t="s">
        <v>809</v>
      </c>
      <c r="D797" t="s">
        <v>10</v>
      </c>
      <c r="E797">
        <v>43</v>
      </c>
      <c r="F797" t="str" cm="1">
        <f t="array" ref="F797">_xlfn.IFS(E797&lt;=35, "18-35", E797&lt;=50, "36-50", E797&lt;=65, "51-65", TRUE, "Over 65")</f>
        <v>36-50</v>
      </c>
      <c r="G797" t="s">
        <v>11</v>
      </c>
      <c r="H797">
        <v>4</v>
      </c>
      <c r="I797" s="2">
        <v>30</v>
      </c>
      <c r="J797" s="2">
        <v>120</v>
      </c>
    </row>
    <row r="798" spans="1:10" x14ac:dyDescent="0.35">
      <c r="A798">
        <v>797</v>
      </c>
      <c r="B798" s="1">
        <v>44933</v>
      </c>
      <c r="C798" t="s">
        <v>810</v>
      </c>
      <c r="D798" t="s">
        <v>10</v>
      </c>
      <c r="E798">
        <v>40</v>
      </c>
      <c r="F798" t="str" cm="1">
        <f t="array" ref="F798">_xlfn.IFS(E798&lt;=35, "18-35", E798&lt;=50, "36-50", E798&lt;=65, "51-65", TRUE, "Over 65")</f>
        <v>36-50</v>
      </c>
      <c r="G798" t="s">
        <v>14</v>
      </c>
      <c r="H798">
        <v>3</v>
      </c>
      <c r="I798" s="2">
        <v>25</v>
      </c>
      <c r="J798" s="2">
        <v>75</v>
      </c>
    </row>
    <row r="799" spans="1:10" x14ac:dyDescent="0.35">
      <c r="A799">
        <v>798</v>
      </c>
      <c r="B799" s="1">
        <v>45142</v>
      </c>
      <c r="C799" t="s">
        <v>811</v>
      </c>
      <c r="D799" t="s">
        <v>10</v>
      </c>
      <c r="E799">
        <v>61</v>
      </c>
      <c r="F799" t="str" cm="1">
        <f t="array" ref="F799">_xlfn.IFS(E799&lt;=35, "18-35", E799&lt;=50, "36-50", E799&lt;=65, "51-65", TRUE, "Over 65")</f>
        <v>51-65</v>
      </c>
      <c r="G799" t="s">
        <v>14</v>
      </c>
      <c r="H799">
        <v>1</v>
      </c>
      <c r="I799" s="2">
        <v>50</v>
      </c>
      <c r="J799" s="2">
        <v>50</v>
      </c>
    </row>
    <row r="800" spans="1:10" x14ac:dyDescent="0.35">
      <c r="A800">
        <v>799</v>
      </c>
      <c r="B800" s="1">
        <v>45177</v>
      </c>
      <c r="C800" t="s">
        <v>812</v>
      </c>
      <c r="D800" t="s">
        <v>10</v>
      </c>
      <c r="E800">
        <v>56</v>
      </c>
      <c r="F800" t="str" cm="1">
        <f t="array" ref="F800">_xlfn.IFS(E800&lt;=35, "18-35", E800&lt;=50, "36-50", E800&lt;=65, "51-65", TRUE, "Over 65")</f>
        <v>51-65</v>
      </c>
      <c r="G800" t="s">
        <v>16</v>
      </c>
      <c r="H800">
        <v>2</v>
      </c>
      <c r="I800" s="2">
        <v>50</v>
      </c>
      <c r="J800" s="2">
        <v>100</v>
      </c>
    </row>
    <row r="801" spans="1:10" x14ac:dyDescent="0.35">
      <c r="A801">
        <v>800</v>
      </c>
      <c r="B801" s="1">
        <v>44981</v>
      </c>
      <c r="C801" t="s">
        <v>813</v>
      </c>
      <c r="D801" t="s">
        <v>10</v>
      </c>
      <c r="E801">
        <v>32</v>
      </c>
      <c r="F801" t="str" cm="1">
        <f t="array" ref="F801">_xlfn.IFS(E801&lt;=35, "18-35", E801&lt;=50, "36-50", E801&lt;=65, "51-65", TRUE, "Over 65")</f>
        <v>18-35</v>
      </c>
      <c r="G801" t="s">
        <v>14</v>
      </c>
      <c r="H801">
        <v>4</v>
      </c>
      <c r="I801" s="2">
        <v>300</v>
      </c>
      <c r="J801" s="2">
        <v>1200</v>
      </c>
    </row>
    <row r="802" spans="1:10" x14ac:dyDescent="0.35">
      <c r="A802">
        <v>801</v>
      </c>
      <c r="B802" s="1">
        <v>45148</v>
      </c>
      <c r="C802" t="s">
        <v>814</v>
      </c>
      <c r="D802" t="s">
        <v>10</v>
      </c>
      <c r="E802">
        <v>21</v>
      </c>
      <c r="F802" t="str" cm="1">
        <f t="array" ref="F802">_xlfn.IFS(E802&lt;=35, "18-35", E802&lt;=50, "36-50", E802&lt;=65, "51-65", TRUE, "Over 65")</f>
        <v>18-35</v>
      </c>
      <c r="G802" t="s">
        <v>14</v>
      </c>
      <c r="H802">
        <v>4</v>
      </c>
      <c r="I802" s="2">
        <v>50</v>
      </c>
      <c r="J802" s="2">
        <v>200</v>
      </c>
    </row>
    <row r="803" spans="1:10" x14ac:dyDescent="0.35">
      <c r="A803">
        <v>802</v>
      </c>
      <c r="B803" s="1">
        <v>45112</v>
      </c>
      <c r="C803" t="s">
        <v>815</v>
      </c>
      <c r="D803" t="s">
        <v>13</v>
      </c>
      <c r="E803">
        <v>46</v>
      </c>
      <c r="F803" t="str" cm="1">
        <f t="array" ref="F803">_xlfn.IFS(E803&lt;=35, "18-35", E803&lt;=50, "36-50", E803&lt;=65, "51-65", TRUE, "Over 65")</f>
        <v>36-50</v>
      </c>
      <c r="G803" t="s">
        <v>11</v>
      </c>
      <c r="H803">
        <v>1</v>
      </c>
      <c r="I803" s="2">
        <v>30</v>
      </c>
      <c r="J803" s="2">
        <v>30</v>
      </c>
    </row>
    <row r="804" spans="1:10" x14ac:dyDescent="0.35">
      <c r="A804">
        <v>803</v>
      </c>
      <c r="B804" s="1">
        <v>45252</v>
      </c>
      <c r="C804" t="s">
        <v>816</v>
      </c>
      <c r="D804" t="s">
        <v>10</v>
      </c>
      <c r="E804">
        <v>39</v>
      </c>
      <c r="F804" t="str" cm="1">
        <f t="array" ref="F804">_xlfn.IFS(E804&lt;=35, "18-35", E804&lt;=50, "36-50", E804&lt;=65, "51-65", TRUE, "Over 65")</f>
        <v>36-50</v>
      </c>
      <c r="G804" t="s">
        <v>14</v>
      </c>
      <c r="H804">
        <v>4</v>
      </c>
      <c r="I804" s="2">
        <v>25</v>
      </c>
      <c r="J804" s="2">
        <v>100</v>
      </c>
    </row>
    <row r="805" spans="1:10" x14ac:dyDescent="0.35">
      <c r="A805">
        <v>804</v>
      </c>
      <c r="B805" s="1">
        <v>45162</v>
      </c>
      <c r="C805" t="s">
        <v>817</v>
      </c>
      <c r="D805" t="s">
        <v>10</v>
      </c>
      <c r="E805">
        <v>42</v>
      </c>
      <c r="F805" t="str" cm="1">
        <f t="array" ref="F805">_xlfn.IFS(E805&lt;=35, "18-35", E805&lt;=50, "36-50", E805&lt;=65, "51-65", TRUE, "Over 65")</f>
        <v>36-50</v>
      </c>
      <c r="G805" t="s">
        <v>16</v>
      </c>
      <c r="H805">
        <v>1</v>
      </c>
      <c r="I805" s="2">
        <v>30</v>
      </c>
      <c r="J805" s="2">
        <v>30</v>
      </c>
    </row>
    <row r="806" spans="1:10" x14ac:dyDescent="0.35">
      <c r="A806">
        <v>805</v>
      </c>
      <c r="B806" s="1">
        <v>45289</v>
      </c>
      <c r="C806" t="s">
        <v>818</v>
      </c>
      <c r="D806" t="s">
        <v>13</v>
      </c>
      <c r="E806">
        <v>30</v>
      </c>
      <c r="F806" t="str" cm="1">
        <f t="array" ref="F806">_xlfn.IFS(E806&lt;=35, "18-35", E806&lt;=50, "36-50", E806&lt;=65, "51-65", TRUE, "Over 65")</f>
        <v>18-35</v>
      </c>
      <c r="G806" t="s">
        <v>11</v>
      </c>
      <c r="H806">
        <v>3</v>
      </c>
      <c r="I806" s="2">
        <v>500</v>
      </c>
      <c r="J806" s="2">
        <v>1500</v>
      </c>
    </row>
    <row r="807" spans="1:10" x14ac:dyDescent="0.35">
      <c r="A807">
        <v>806</v>
      </c>
      <c r="B807" s="1">
        <v>45005</v>
      </c>
      <c r="C807" t="s">
        <v>819</v>
      </c>
      <c r="D807" t="s">
        <v>13</v>
      </c>
      <c r="E807">
        <v>35</v>
      </c>
      <c r="F807" t="str" cm="1">
        <f t="array" ref="F807">_xlfn.IFS(E807&lt;=35, "18-35", E807&lt;=50, "36-50", E807&lt;=65, "51-65", TRUE, "Over 65")</f>
        <v>18-35</v>
      </c>
      <c r="G807" t="s">
        <v>11</v>
      </c>
      <c r="H807">
        <v>3</v>
      </c>
      <c r="I807" s="2">
        <v>300</v>
      </c>
      <c r="J807" s="2">
        <v>900</v>
      </c>
    </row>
    <row r="808" spans="1:10" x14ac:dyDescent="0.35">
      <c r="A808">
        <v>807</v>
      </c>
      <c r="B808" s="1">
        <v>45149</v>
      </c>
      <c r="C808" t="s">
        <v>820</v>
      </c>
      <c r="D808" t="s">
        <v>13</v>
      </c>
      <c r="E808">
        <v>50</v>
      </c>
      <c r="F808" t="str" cm="1">
        <f t="array" ref="F808">_xlfn.IFS(E808&lt;=35, "18-35", E808&lt;=50, "36-50", E808&lt;=65, "51-65", TRUE, "Over 65")</f>
        <v>36-50</v>
      </c>
      <c r="G808" t="s">
        <v>16</v>
      </c>
      <c r="H808">
        <v>4</v>
      </c>
      <c r="I808" s="2">
        <v>50</v>
      </c>
      <c r="J808" s="2">
        <v>200</v>
      </c>
    </row>
    <row r="809" spans="1:10" x14ac:dyDescent="0.35">
      <c r="A809">
        <v>808</v>
      </c>
      <c r="B809" s="1">
        <v>45017</v>
      </c>
      <c r="C809" t="s">
        <v>821</v>
      </c>
      <c r="D809" t="s">
        <v>10</v>
      </c>
      <c r="E809">
        <v>33</v>
      </c>
      <c r="F809" t="str" cm="1">
        <f t="array" ref="F809">_xlfn.IFS(E809&lt;=35, "18-35", E809&lt;=50, "36-50", E809&lt;=65, "51-65", TRUE, "Over 65")</f>
        <v>18-35</v>
      </c>
      <c r="G809" t="s">
        <v>11</v>
      </c>
      <c r="H809">
        <v>4</v>
      </c>
      <c r="I809" s="2">
        <v>500</v>
      </c>
      <c r="J809" s="2">
        <v>2000</v>
      </c>
    </row>
    <row r="810" spans="1:10" x14ac:dyDescent="0.35">
      <c r="A810">
        <v>809</v>
      </c>
      <c r="B810" s="1">
        <v>45194</v>
      </c>
      <c r="C810" t="s">
        <v>822</v>
      </c>
      <c r="D810" t="s">
        <v>13</v>
      </c>
      <c r="E810">
        <v>62</v>
      </c>
      <c r="F810" t="str" cm="1">
        <f t="array" ref="F810">_xlfn.IFS(E810&lt;=35, "18-35", E810&lt;=50, "36-50", E810&lt;=65, "51-65", TRUE, "Over 65")</f>
        <v>51-65</v>
      </c>
      <c r="G810" t="s">
        <v>11</v>
      </c>
      <c r="H810">
        <v>2</v>
      </c>
      <c r="I810" s="2">
        <v>50</v>
      </c>
      <c r="J810" s="2">
        <v>100</v>
      </c>
    </row>
    <row r="811" spans="1:10" x14ac:dyDescent="0.35">
      <c r="A811">
        <v>810</v>
      </c>
      <c r="B811" s="1">
        <v>45260</v>
      </c>
      <c r="C811" t="s">
        <v>823</v>
      </c>
      <c r="D811" t="s">
        <v>10</v>
      </c>
      <c r="E811">
        <v>59</v>
      </c>
      <c r="F811" t="str" cm="1">
        <f t="array" ref="F811">_xlfn.IFS(E811&lt;=35, "18-35", E811&lt;=50, "36-50", E811&lt;=65, "51-65", TRUE, "Over 65")</f>
        <v>51-65</v>
      </c>
      <c r="G811" t="s">
        <v>16</v>
      </c>
      <c r="H811">
        <v>4</v>
      </c>
      <c r="I811" s="2">
        <v>25</v>
      </c>
      <c r="J811" s="2">
        <v>100</v>
      </c>
    </row>
    <row r="812" spans="1:10" x14ac:dyDescent="0.35">
      <c r="A812">
        <v>811</v>
      </c>
      <c r="B812" s="1">
        <v>45065</v>
      </c>
      <c r="C812" t="s">
        <v>824</v>
      </c>
      <c r="D812" t="s">
        <v>10</v>
      </c>
      <c r="E812">
        <v>61</v>
      </c>
      <c r="F812" t="str" cm="1">
        <f t="array" ref="F812">_xlfn.IFS(E812&lt;=35, "18-35", E812&lt;=50, "36-50", E812&lt;=65, "51-65", TRUE, "Over 65")</f>
        <v>51-65</v>
      </c>
      <c r="G812" t="s">
        <v>11</v>
      </c>
      <c r="H812">
        <v>2</v>
      </c>
      <c r="I812" s="2">
        <v>25</v>
      </c>
      <c r="J812" s="2">
        <v>50</v>
      </c>
    </row>
    <row r="813" spans="1:10" x14ac:dyDescent="0.35">
      <c r="A813">
        <v>812</v>
      </c>
      <c r="B813" s="1">
        <v>45242</v>
      </c>
      <c r="C813" t="s">
        <v>825</v>
      </c>
      <c r="D813" t="s">
        <v>10</v>
      </c>
      <c r="E813">
        <v>19</v>
      </c>
      <c r="F813" t="str" cm="1">
        <f t="array" ref="F813">_xlfn.IFS(E813&lt;=35, "18-35", E813&lt;=50, "36-50", E813&lt;=65, "51-65", TRUE, "Over 65")</f>
        <v>18-35</v>
      </c>
      <c r="G813" t="s">
        <v>16</v>
      </c>
      <c r="H813">
        <v>3</v>
      </c>
      <c r="I813" s="2">
        <v>25</v>
      </c>
      <c r="J813" s="2">
        <v>75</v>
      </c>
    </row>
    <row r="814" spans="1:10" x14ac:dyDescent="0.35">
      <c r="A814">
        <v>813</v>
      </c>
      <c r="B814" s="1">
        <v>45202</v>
      </c>
      <c r="C814" t="s">
        <v>826</v>
      </c>
      <c r="D814" t="s">
        <v>10</v>
      </c>
      <c r="E814">
        <v>52</v>
      </c>
      <c r="F814" t="str" cm="1">
        <f t="array" ref="F814">_xlfn.IFS(E814&lt;=35, "18-35", E814&lt;=50, "36-50", E814&lt;=65, "51-65", TRUE, "Over 65")</f>
        <v>51-65</v>
      </c>
      <c r="G814" t="s">
        <v>16</v>
      </c>
      <c r="H814">
        <v>3</v>
      </c>
      <c r="I814" s="2">
        <v>50</v>
      </c>
      <c r="J814" s="2">
        <v>150</v>
      </c>
    </row>
    <row r="815" spans="1:10" x14ac:dyDescent="0.35">
      <c r="A815">
        <v>814</v>
      </c>
      <c r="B815" s="1">
        <v>45174</v>
      </c>
      <c r="C815" t="s">
        <v>827</v>
      </c>
      <c r="D815" t="s">
        <v>13</v>
      </c>
      <c r="E815">
        <v>59</v>
      </c>
      <c r="F815" t="str" cm="1">
        <f t="array" ref="F815">_xlfn.IFS(E815&lt;=35, "18-35", E815&lt;=50, "36-50", E815&lt;=65, "51-65", TRUE, "Over 65")</f>
        <v>51-65</v>
      </c>
      <c r="G815" t="s">
        <v>14</v>
      </c>
      <c r="H815">
        <v>1</v>
      </c>
      <c r="I815" s="2">
        <v>500</v>
      </c>
      <c r="J815" s="2">
        <v>500</v>
      </c>
    </row>
    <row r="816" spans="1:10" x14ac:dyDescent="0.35">
      <c r="A816">
        <v>815</v>
      </c>
      <c r="B816" s="1">
        <v>45165</v>
      </c>
      <c r="C816" t="s">
        <v>828</v>
      </c>
      <c r="D816" t="s">
        <v>13</v>
      </c>
      <c r="E816">
        <v>51</v>
      </c>
      <c r="F816" t="str" cm="1">
        <f t="array" ref="F816">_xlfn.IFS(E816&lt;=35, "18-35", E816&lt;=50, "36-50", E816&lt;=65, "51-65", TRUE, "Over 65")</f>
        <v>51-65</v>
      </c>
      <c r="G816" t="s">
        <v>14</v>
      </c>
      <c r="H816">
        <v>3</v>
      </c>
      <c r="I816" s="2">
        <v>25</v>
      </c>
      <c r="J816" s="2">
        <v>75</v>
      </c>
    </row>
    <row r="817" spans="1:10" x14ac:dyDescent="0.35">
      <c r="A817">
        <v>816</v>
      </c>
      <c r="B817" s="1">
        <v>45150</v>
      </c>
      <c r="C817" t="s">
        <v>829</v>
      </c>
      <c r="D817" t="s">
        <v>10</v>
      </c>
      <c r="E817">
        <v>47</v>
      </c>
      <c r="F817" t="str" cm="1">
        <f t="array" ref="F817">_xlfn.IFS(E817&lt;=35, "18-35", E817&lt;=50, "36-50", E817&lt;=65, "51-65", TRUE, "Over 65")</f>
        <v>36-50</v>
      </c>
      <c r="G817" t="s">
        <v>11</v>
      </c>
      <c r="H817">
        <v>2</v>
      </c>
      <c r="I817" s="2">
        <v>500</v>
      </c>
      <c r="J817" s="2">
        <v>1000</v>
      </c>
    </row>
    <row r="818" spans="1:10" x14ac:dyDescent="0.35">
      <c r="A818">
        <v>817</v>
      </c>
      <c r="B818" s="1">
        <v>45230</v>
      </c>
      <c r="C818" t="s">
        <v>830</v>
      </c>
      <c r="D818" t="s">
        <v>10</v>
      </c>
      <c r="E818">
        <v>30</v>
      </c>
      <c r="F818" t="str" cm="1">
        <f t="array" ref="F818">_xlfn.IFS(E818&lt;=35, "18-35", E818&lt;=50, "36-50", E818&lt;=65, "51-65", TRUE, "Over 65")</f>
        <v>18-35</v>
      </c>
      <c r="G818" t="s">
        <v>11</v>
      </c>
      <c r="H818">
        <v>4</v>
      </c>
      <c r="I818" s="2">
        <v>50</v>
      </c>
      <c r="J818" s="2">
        <v>200</v>
      </c>
    </row>
    <row r="819" spans="1:10" x14ac:dyDescent="0.35">
      <c r="A819">
        <v>818</v>
      </c>
      <c r="B819" s="1">
        <v>45064</v>
      </c>
      <c r="C819" t="s">
        <v>831</v>
      </c>
      <c r="D819" t="s">
        <v>10</v>
      </c>
      <c r="E819">
        <v>30</v>
      </c>
      <c r="F819" t="str" cm="1">
        <f t="array" ref="F819">_xlfn.IFS(E819&lt;=35, "18-35", E819&lt;=50, "36-50", E819&lt;=65, "51-65", TRUE, "Over 65")</f>
        <v>18-35</v>
      </c>
      <c r="G819" t="s">
        <v>16</v>
      </c>
      <c r="H819">
        <v>1</v>
      </c>
      <c r="I819" s="2">
        <v>500</v>
      </c>
      <c r="J819" s="2">
        <v>500</v>
      </c>
    </row>
    <row r="820" spans="1:10" x14ac:dyDescent="0.35">
      <c r="A820">
        <v>819</v>
      </c>
      <c r="B820" s="1">
        <v>45092</v>
      </c>
      <c r="C820" t="s">
        <v>832</v>
      </c>
      <c r="D820" t="s">
        <v>13</v>
      </c>
      <c r="E820">
        <v>35</v>
      </c>
      <c r="F820" t="str" cm="1">
        <f t="array" ref="F820">_xlfn.IFS(E820&lt;=35, "18-35", E820&lt;=50, "36-50", E820&lt;=65, "51-65", TRUE, "Over 65")</f>
        <v>18-35</v>
      </c>
      <c r="G820" t="s">
        <v>11</v>
      </c>
      <c r="H820">
        <v>2</v>
      </c>
      <c r="I820" s="2">
        <v>50</v>
      </c>
      <c r="J820" s="2">
        <v>100</v>
      </c>
    </row>
    <row r="821" spans="1:10" x14ac:dyDescent="0.35">
      <c r="A821">
        <v>820</v>
      </c>
      <c r="B821" s="1">
        <v>45052</v>
      </c>
      <c r="C821" t="s">
        <v>833</v>
      </c>
      <c r="D821" t="s">
        <v>10</v>
      </c>
      <c r="E821">
        <v>49</v>
      </c>
      <c r="F821" t="str" cm="1">
        <f t="array" ref="F821">_xlfn.IFS(E821&lt;=35, "18-35", E821&lt;=50, "36-50", E821&lt;=65, "51-65", TRUE, "Over 65")</f>
        <v>36-50</v>
      </c>
      <c r="G821" t="s">
        <v>16</v>
      </c>
      <c r="H821">
        <v>4</v>
      </c>
      <c r="I821" s="2">
        <v>50</v>
      </c>
      <c r="J821" s="2">
        <v>200</v>
      </c>
    </row>
    <row r="822" spans="1:10" x14ac:dyDescent="0.35">
      <c r="A822">
        <v>821</v>
      </c>
      <c r="B822" s="1">
        <v>44971</v>
      </c>
      <c r="C822" t="s">
        <v>834</v>
      </c>
      <c r="D822" t="s">
        <v>10</v>
      </c>
      <c r="E822">
        <v>49</v>
      </c>
      <c r="F822" t="str" cm="1">
        <f t="array" ref="F822">_xlfn.IFS(E822&lt;=35, "18-35", E822&lt;=50, "36-50", E822&lt;=65, "51-65", TRUE, "Over 65")</f>
        <v>36-50</v>
      </c>
      <c r="G822" t="s">
        <v>16</v>
      </c>
      <c r="H822">
        <v>1</v>
      </c>
      <c r="I822" s="2">
        <v>300</v>
      </c>
      <c r="J822" s="2">
        <v>300</v>
      </c>
    </row>
    <row r="823" spans="1:10" x14ac:dyDescent="0.35">
      <c r="A823">
        <v>822</v>
      </c>
      <c r="B823" s="1">
        <v>45069</v>
      </c>
      <c r="C823" t="s">
        <v>835</v>
      </c>
      <c r="D823" t="s">
        <v>13</v>
      </c>
      <c r="E823">
        <v>52</v>
      </c>
      <c r="F823" t="str" cm="1">
        <f t="array" ref="F823">_xlfn.IFS(E823&lt;=35, "18-35", E823&lt;=50, "36-50", E823&lt;=65, "51-65", TRUE, "Over 65")</f>
        <v>51-65</v>
      </c>
      <c r="G823" t="s">
        <v>11</v>
      </c>
      <c r="H823">
        <v>3</v>
      </c>
      <c r="I823" s="2">
        <v>50</v>
      </c>
      <c r="J823" s="2">
        <v>150</v>
      </c>
    </row>
    <row r="824" spans="1:10" x14ac:dyDescent="0.35">
      <c r="A824">
        <v>823</v>
      </c>
      <c r="B824" s="1">
        <v>45157</v>
      </c>
      <c r="C824" t="s">
        <v>836</v>
      </c>
      <c r="D824" t="s">
        <v>13</v>
      </c>
      <c r="E824">
        <v>56</v>
      </c>
      <c r="F824" t="str" cm="1">
        <f t="array" ref="F824">_xlfn.IFS(E824&lt;=35, "18-35", E824&lt;=50, "36-50", E824&lt;=65, "51-65", TRUE, "Over 65")</f>
        <v>51-65</v>
      </c>
      <c r="G824" t="s">
        <v>16</v>
      </c>
      <c r="H824">
        <v>2</v>
      </c>
      <c r="I824" s="2">
        <v>50</v>
      </c>
      <c r="J824" s="2">
        <v>100</v>
      </c>
    </row>
    <row r="825" spans="1:10" x14ac:dyDescent="0.35">
      <c r="A825">
        <v>824</v>
      </c>
      <c r="B825" s="1">
        <v>45051</v>
      </c>
      <c r="C825" t="s">
        <v>837</v>
      </c>
      <c r="D825" t="s">
        <v>10</v>
      </c>
      <c r="E825">
        <v>63</v>
      </c>
      <c r="F825" t="str" cm="1">
        <f t="array" ref="F825">_xlfn.IFS(E825&lt;=35, "18-35", E825&lt;=50, "36-50", E825&lt;=65, "51-65", TRUE, "Over 65")</f>
        <v>51-65</v>
      </c>
      <c r="G825" t="s">
        <v>14</v>
      </c>
      <c r="H825">
        <v>4</v>
      </c>
      <c r="I825" s="2">
        <v>30</v>
      </c>
      <c r="J825" s="2">
        <v>120</v>
      </c>
    </row>
    <row r="826" spans="1:10" x14ac:dyDescent="0.35">
      <c r="A826">
        <v>825</v>
      </c>
      <c r="B826" s="1">
        <v>45164</v>
      </c>
      <c r="C826" t="s">
        <v>838</v>
      </c>
      <c r="D826" t="s">
        <v>13</v>
      </c>
      <c r="E826">
        <v>46</v>
      </c>
      <c r="F826" t="str" cm="1">
        <f t="array" ref="F826">_xlfn.IFS(E826&lt;=35, "18-35", E826&lt;=50, "36-50", E826&lt;=65, "51-65", TRUE, "Over 65")</f>
        <v>36-50</v>
      </c>
      <c r="G826" t="s">
        <v>11</v>
      </c>
      <c r="H826">
        <v>1</v>
      </c>
      <c r="I826" s="2">
        <v>25</v>
      </c>
      <c r="J826" s="2">
        <v>25</v>
      </c>
    </row>
    <row r="827" spans="1:10" x14ac:dyDescent="0.35">
      <c r="A827">
        <v>826</v>
      </c>
      <c r="B827" s="1">
        <v>45218</v>
      </c>
      <c r="C827" t="s">
        <v>839</v>
      </c>
      <c r="D827" t="s">
        <v>13</v>
      </c>
      <c r="E827">
        <v>46</v>
      </c>
      <c r="F827" t="str" cm="1">
        <f t="array" ref="F827">_xlfn.IFS(E827&lt;=35, "18-35", E827&lt;=50, "36-50", E827&lt;=65, "51-65", TRUE, "Over 65")</f>
        <v>36-50</v>
      </c>
      <c r="G827" t="s">
        <v>14</v>
      </c>
      <c r="H827">
        <v>1</v>
      </c>
      <c r="I827" s="2">
        <v>300</v>
      </c>
      <c r="J827" s="2">
        <v>300</v>
      </c>
    </row>
    <row r="828" spans="1:10" x14ac:dyDescent="0.35">
      <c r="A828">
        <v>827</v>
      </c>
      <c r="B828" s="1">
        <v>45239</v>
      </c>
      <c r="C828" t="s">
        <v>840</v>
      </c>
      <c r="D828" t="s">
        <v>10</v>
      </c>
      <c r="E828">
        <v>61</v>
      </c>
      <c r="F828" t="str" cm="1">
        <f t="array" ref="F828">_xlfn.IFS(E828&lt;=35, "18-35", E828&lt;=50, "36-50", E828&lt;=65, "51-65", TRUE, "Over 65")</f>
        <v>51-65</v>
      </c>
      <c r="G828" t="s">
        <v>11</v>
      </c>
      <c r="H828">
        <v>3</v>
      </c>
      <c r="I828" s="2">
        <v>300</v>
      </c>
      <c r="J828" s="2">
        <v>900</v>
      </c>
    </row>
    <row r="829" spans="1:10" x14ac:dyDescent="0.35">
      <c r="A829">
        <v>828</v>
      </c>
      <c r="B829" s="1">
        <v>45269</v>
      </c>
      <c r="C829" t="s">
        <v>841</v>
      </c>
      <c r="D829" t="s">
        <v>13</v>
      </c>
      <c r="E829">
        <v>33</v>
      </c>
      <c r="F829" t="str" cm="1">
        <f t="array" ref="F829">_xlfn.IFS(E829&lt;=35, "18-35", E829&lt;=50, "36-50", E829&lt;=65, "51-65", TRUE, "Over 65")</f>
        <v>18-35</v>
      </c>
      <c r="G829" t="s">
        <v>16</v>
      </c>
      <c r="H829">
        <v>4</v>
      </c>
      <c r="I829" s="2">
        <v>300</v>
      </c>
      <c r="J829" s="2">
        <v>1200</v>
      </c>
    </row>
    <row r="830" spans="1:10" x14ac:dyDescent="0.35">
      <c r="A830">
        <v>829</v>
      </c>
      <c r="B830" s="1">
        <v>45121</v>
      </c>
      <c r="C830" t="s">
        <v>842</v>
      </c>
      <c r="D830" t="s">
        <v>10</v>
      </c>
      <c r="E830">
        <v>61</v>
      </c>
      <c r="F830" t="str" cm="1">
        <f t="array" ref="F830">_xlfn.IFS(E830&lt;=35, "18-35", E830&lt;=50, "36-50", E830&lt;=65, "51-65", TRUE, "Over 65")</f>
        <v>51-65</v>
      </c>
      <c r="G830" t="s">
        <v>11</v>
      </c>
      <c r="H830">
        <v>3</v>
      </c>
      <c r="I830" s="2">
        <v>30</v>
      </c>
      <c r="J830" s="2">
        <v>90</v>
      </c>
    </row>
    <row r="831" spans="1:10" x14ac:dyDescent="0.35">
      <c r="A831">
        <v>830</v>
      </c>
      <c r="B831" s="1">
        <v>45099</v>
      </c>
      <c r="C831" t="s">
        <v>843</v>
      </c>
      <c r="D831" t="s">
        <v>13</v>
      </c>
      <c r="E831">
        <v>64</v>
      </c>
      <c r="F831" t="str" cm="1">
        <f t="array" ref="F831">_xlfn.IFS(E831&lt;=35, "18-35", E831&lt;=50, "36-50", E831&lt;=65, "51-65", TRUE, "Over 65")</f>
        <v>51-65</v>
      </c>
      <c r="G831" t="s">
        <v>14</v>
      </c>
      <c r="H831">
        <v>3</v>
      </c>
      <c r="I831" s="2">
        <v>50</v>
      </c>
      <c r="J831" s="2">
        <v>150</v>
      </c>
    </row>
    <row r="832" spans="1:10" x14ac:dyDescent="0.35">
      <c r="A832">
        <v>831</v>
      </c>
      <c r="B832" s="1">
        <v>44941</v>
      </c>
      <c r="C832" t="s">
        <v>844</v>
      </c>
      <c r="D832" t="s">
        <v>10</v>
      </c>
      <c r="E832">
        <v>27</v>
      </c>
      <c r="F832" t="str" cm="1">
        <f t="array" ref="F832">_xlfn.IFS(E832&lt;=35, "18-35", E832&lt;=50, "36-50", E832&lt;=65, "51-65", TRUE, "Over 65")</f>
        <v>18-35</v>
      </c>
      <c r="G832" t="s">
        <v>16</v>
      </c>
      <c r="H832">
        <v>4</v>
      </c>
      <c r="I832" s="2">
        <v>25</v>
      </c>
      <c r="J832" s="2">
        <v>100</v>
      </c>
    </row>
    <row r="833" spans="1:10" x14ac:dyDescent="0.35">
      <c r="A833">
        <v>832</v>
      </c>
      <c r="B833" s="1">
        <v>45180</v>
      </c>
      <c r="C833" t="s">
        <v>845</v>
      </c>
      <c r="D833" t="s">
        <v>10</v>
      </c>
      <c r="E833">
        <v>47</v>
      </c>
      <c r="F833" t="str" cm="1">
        <f t="array" ref="F833">_xlfn.IFS(E833&lt;=35, "18-35", E833&lt;=50, "36-50", E833&lt;=65, "51-65", TRUE, "Over 65")</f>
        <v>36-50</v>
      </c>
      <c r="G833" t="s">
        <v>11</v>
      </c>
      <c r="H833">
        <v>4</v>
      </c>
      <c r="I833" s="2">
        <v>500</v>
      </c>
      <c r="J833" s="2">
        <v>2000</v>
      </c>
    </row>
    <row r="834" spans="1:10" x14ac:dyDescent="0.35">
      <c r="A834">
        <v>833</v>
      </c>
      <c r="B834" s="1">
        <v>45093</v>
      </c>
      <c r="C834" t="s">
        <v>846</v>
      </c>
      <c r="D834" t="s">
        <v>10</v>
      </c>
      <c r="E834">
        <v>42</v>
      </c>
      <c r="F834" t="str" cm="1">
        <f t="array" ref="F834">_xlfn.IFS(E834&lt;=35, "18-35", E834&lt;=50, "36-50", E834&lt;=65, "51-65", TRUE, "Over 65")</f>
        <v>36-50</v>
      </c>
      <c r="G834" t="s">
        <v>11</v>
      </c>
      <c r="H834">
        <v>4</v>
      </c>
      <c r="I834" s="2">
        <v>50</v>
      </c>
      <c r="J834" s="2">
        <v>200</v>
      </c>
    </row>
    <row r="835" spans="1:10" x14ac:dyDescent="0.35">
      <c r="A835">
        <v>834</v>
      </c>
      <c r="B835" s="1">
        <v>45020</v>
      </c>
      <c r="C835" t="s">
        <v>847</v>
      </c>
      <c r="D835" t="s">
        <v>13</v>
      </c>
      <c r="E835">
        <v>56</v>
      </c>
      <c r="F835" t="str" cm="1">
        <f t="array" ref="F835">_xlfn.IFS(E835&lt;=35, "18-35", E835&lt;=50, "36-50", E835&lt;=65, "51-65", TRUE, "Over 65")</f>
        <v>51-65</v>
      </c>
      <c r="G835" t="s">
        <v>11</v>
      </c>
      <c r="H835">
        <v>2</v>
      </c>
      <c r="I835" s="2">
        <v>30</v>
      </c>
      <c r="J835" s="2">
        <v>60</v>
      </c>
    </row>
    <row r="836" spans="1:10" x14ac:dyDescent="0.35">
      <c r="A836">
        <v>835</v>
      </c>
      <c r="B836" s="1">
        <v>45176</v>
      </c>
      <c r="C836" t="s">
        <v>848</v>
      </c>
      <c r="D836" t="s">
        <v>10</v>
      </c>
      <c r="E836">
        <v>37</v>
      </c>
      <c r="F836" t="str" cm="1">
        <f t="array" ref="F836">_xlfn.IFS(E836&lt;=35, "18-35", E836&lt;=50, "36-50", E836&lt;=65, "51-65", TRUE, "Over 65")</f>
        <v>36-50</v>
      </c>
      <c r="G836" t="s">
        <v>14</v>
      </c>
      <c r="H836">
        <v>4</v>
      </c>
      <c r="I836" s="2">
        <v>50</v>
      </c>
      <c r="J836" s="2">
        <v>200</v>
      </c>
    </row>
    <row r="837" spans="1:10" x14ac:dyDescent="0.35">
      <c r="A837">
        <v>836</v>
      </c>
      <c r="B837" s="1">
        <v>45035</v>
      </c>
      <c r="C837" t="s">
        <v>849</v>
      </c>
      <c r="D837" t="s">
        <v>13</v>
      </c>
      <c r="E837">
        <v>22</v>
      </c>
      <c r="F837" t="str" cm="1">
        <f t="array" ref="F837">_xlfn.IFS(E837&lt;=35, "18-35", E837&lt;=50, "36-50", E837&lt;=65, "51-65", TRUE, "Over 65")</f>
        <v>18-35</v>
      </c>
      <c r="G837" t="s">
        <v>14</v>
      </c>
      <c r="H837">
        <v>1</v>
      </c>
      <c r="I837" s="2">
        <v>50</v>
      </c>
      <c r="J837" s="2">
        <v>50</v>
      </c>
    </row>
    <row r="838" spans="1:10" x14ac:dyDescent="0.35">
      <c r="A838">
        <v>837</v>
      </c>
      <c r="B838" s="1">
        <v>45108</v>
      </c>
      <c r="C838" t="s">
        <v>850</v>
      </c>
      <c r="D838" t="s">
        <v>10</v>
      </c>
      <c r="E838">
        <v>18</v>
      </c>
      <c r="F838" t="str" cm="1">
        <f t="array" ref="F838">_xlfn.IFS(E838&lt;=35, "18-35", E838&lt;=50, "36-50", E838&lt;=65, "51-65", TRUE, "Over 65")</f>
        <v>18-35</v>
      </c>
      <c r="G838" t="s">
        <v>11</v>
      </c>
      <c r="H838">
        <v>3</v>
      </c>
      <c r="I838" s="2">
        <v>30</v>
      </c>
      <c r="J838" s="2">
        <v>90</v>
      </c>
    </row>
    <row r="839" spans="1:10" x14ac:dyDescent="0.35">
      <c r="A839">
        <v>838</v>
      </c>
      <c r="B839" s="1">
        <v>45059</v>
      </c>
      <c r="C839" t="s">
        <v>851</v>
      </c>
      <c r="D839" t="s">
        <v>10</v>
      </c>
      <c r="E839">
        <v>47</v>
      </c>
      <c r="F839" t="str" cm="1">
        <f t="array" ref="F839">_xlfn.IFS(E839&lt;=35, "18-35", E839&lt;=50, "36-50", E839&lt;=65, "51-65", TRUE, "Over 65")</f>
        <v>36-50</v>
      </c>
      <c r="G839" t="s">
        <v>16</v>
      </c>
      <c r="H839">
        <v>2</v>
      </c>
      <c r="I839" s="2">
        <v>300</v>
      </c>
      <c r="J839" s="2">
        <v>600</v>
      </c>
    </row>
    <row r="840" spans="1:10" x14ac:dyDescent="0.35">
      <c r="A840">
        <v>839</v>
      </c>
      <c r="B840" s="1">
        <v>45101</v>
      </c>
      <c r="C840" t="s">
        <v>852</v>
      </c>
      <c r="D840" t="s">
        <v>13</v>
      </c>
      <c r="E840">
        <v>20</v>
      </c>
      <c r="F840" t="str" cm="1">
        <f t="array" ref="F840">_xlfn.IFS(E840&lt;=35, "18-35", E840&lt;=50, "36-50", E840&lt;=65, "51-65", TRUE, "Over 65")</f>
        <v>18-35</v>
      </c>
      <c r="G840" t="s">
        <v>16</v>
      </c>
      <c r="H840">
        <v>4</v>
      </c>
      <c r="I840" s="2">
        <v>300</v>
      </c>
      <c r="J840" s="2">
        <v>1200</v>
      </c>
    </row>
    <row r="841" spans="1:10" x14ac:dyDescent="0.35">
      <c r="A841">
        <v>840</v>
      </c>
      <c r="B841" s="1">
        <v>45070</v>
      </c>
      <c r="C841" t="s">
        <v>853</v>
      </c>
      <c r="D841" t="s">
        <v>10</v>
      </c>
      <c r="E841">
        <v>62</v>
      </c>
      <c r="F841" t="str" cm="1">
        <f t="array" ref="F841">_xlfn.IFS(E841&lt;=35, "18-35", E841&lt;=50, "36-50", E841&lt;=65, "51-65", TRUE, "Over 65")</f>
        <v>51-65</v>
      </c>
      <c r="G841" t="s">
        <v>14</v>
      </c>
      <c r="H841">
        <v>2</v>
      </c>
      <c r="I841" s="2">
        <v>25</v>
      </c>
      <c r="J841" s="2">
        <v>50</v>
      </c>
    </row>
    <row r="842" spans="1:10" x14ac:dyDescent="0.35">
      <c r="A842">
        <v>841</v>
      </c>
      <c r="B842" s="1">
        <v>45232</v>
      </c>
      <c r="C842" t="s">
        <v>854</v>
      </c>
      <c r="D842" t="s">
        <v>10</v>
      </c>
      <c r="E842">
        <v>31</v>
      </c>
      <c r="F842" t="str" cm="1">
        <f t="array" ref="F842">_xlfn.IFS(E842&lt;=35, "18-35", E842&lt;=50, "36-50", E842&lt;=65, "51-65", TRUE, "Over 65")</f>
        <v>18-35</v>
      </c>
      <c r="G842" t="s">
        <v>16</v>
      </c>
      <c r="H842">
        <v>4</v>
      </c>
      <c r="I842" s="2">
        <v>25</v>
      </c>
      <c r="J842" s="2">
        <v>100</v>
      </c>
    </row>
    <row r="843" spans="1:10" x14ac:dyDescent="0.35">
      <c r="A843">
        <v>842</v>
      </c>
      <c r="B843" s="1">
        <v>45286</v>
      </c>
      <c r="C843" t="s">
        <v>855</v>
      </c>
      <c r="D843" t="s">
        <v>13</v>
      </c>
      <c r="E843">
        <v>47</v>
      </c>
      <c r="F843" t="str" cm="1">
        <f t="array" ref="F843">_xlfn.IFS(E843&lt;=35, "18-35", E843&lt;=50, "36-50", E843&lt;=65, "51-65", TRUE, "Over 65")</f>
        <v>36-50</v>
      </c>
      <c r="G843" t="s">
        <v>14</v>
      </c>
      <c r="H843">
        <v>2</v>
      </c>
      <c r="I843" s="2">
        <v>300</v>
      </c>
      <c r="J843" s="2">
        <v>600</v>
      </c>
    </row>
    <row r="844" spans="1:10" x14ac:dyDescent="0.35">
      <c r="A844">
        <v>843</v>
      </c>
      <c r="B844" s="1">
        <v>45068</v>
      </c>
      <c r="C844" t="s">
        <v>856</v>
      </c>
      <c r="D844" t="s">
        <v>10</v>
      </c>
      <c r="E844">
        <v>21</v>
      </c>
      <c r="F844" t="str" cm="1">
        <f t="array" ref="F844">_xlfn.IFS(E844&lt;=35, "18-35", E844&lt;=50, "36-50", E844&lt;=65, "51-65", TRUE, "Over 65")</f>
        <v>18-35</v>
      </c>
      <c r="G844" t="s">
        <v>11</v>
      </c>
      <c r="H844">
        <v>3</v>
      </c>
      <c r="I844" s="2">
        <v>500</v>
      </c>
      <c r="J844" s="2">
        <v>1500</v>
      </c>
    </row>
    <row r="845" spans="1:10" x14ac:dyDescent="0.35">
      <c r="A845">
        <v>844</v>
      </c>
      <c r="B845" s="1">
        <v>45211</v>
      </c>
      <c r="C845" t="s">
        <v>857</v>
      </c>
      <c r="D845" t="s">
        <v>10</v>
      </c>
      <c r="E845">
        <v>35</v>
      </c>
      <c r="F845" t="str" cm="1">
        <f t="array" ref="F845">_xlfn.IFS(E845&lt;=35, "18-35", E845&lt;=50, "36-50", E845&lt;=65, "51-65", TRUE, "Over 65")</f>
        <v>18-35</v>
      </c>
      <c r="G845" t="s">
        <v>14</v>
      </c>
      <c r="H845">
        <v>3</v>
      </c>
      <c r="I845" s="2">
        <v>50</v>
      </c>
      <c r="J845" s="2">
        <v>150</v>
      </c>
    </row>
    <row r="846" spans="1:10" x14ac:dyDescent="0.35">
      <c r="A846">
        <v>845</v>
      </c>
      <c r="B846" s="1">
        <v>44932</v>
      </c>
      <c r="C846" t="s">
        <v>858</v>
      </c>
      <c r="D846" t="s">
        <v>10</v>
      </c>
      <c r="E846">
        <v>54</v>
      </c>
      <c r="F846" t="str" cm="1">
        <f t="array" ref="F846">_xlfn.IFS(E846&lt;=35, "18-35", E846&lt;=50, "36-50", E846&lt;=65, "51-65", TRUE, "Over 65")</f>
        <v>51-65</v>
      </c>
      <c r="G846" t="s">
        <v>14</v>
      </c>
      <c r="H846">
        <v>1</v>
      </c>
      <c r="I846" s="2">
        <v>500</v>
      </c>
      <c r="J846" s="2">
        <v>500</v>
      </c>
    </row>
    <row r="847" spans="1:10" x14ac:dyDescent="0.35">
      <c r="A847">
        <v>846</v>
      </c>
      <c r="B847" s="1">
        <v>45191</v>
      </c>
      <c r="C847" t="s">
        <v>859</v>
      </c>
      <c r="D847" t="s">
        <v>10</v>
      </c>
      <c r="E847">
        <v>42</v>
      </c>
      <c r="F847" t="str" cm="1">
        <f t="array" ref="F847">_xlfn.IFS(E847&lt;=35, "18-35", E847&lt;=50, "36-50", E847&lt;=65, "51-65", TRUE, "Over 65")</f>
        <v>36-50</v>
      </c>
      <c r="G847" t="s">
        <v>11</v>
      </c>
      <c r="H847">
        <v>1</v>
      </c>
      <c r="I847" s="2">
        <v>50</v>
      </c>
      <c r="J847" s="2">
        <v>50</v>
      </c>
    </row>
    <row r="848" spans="1:10" x14ac:dyDescent="0.35">
      <c r="A848">
        <v>847</v>
      </c>
      <c r="B848" s="1">
        <v>45024</v>
      </c>
      <c r="C848" t="s">
        <v>860</v>
      </c>
      <c r="D848" t="s">
        <v>13</v>
      </c>
      <c r="E848">
        <v>18</v>
      </c>
      <c r="F848" t="str" cm="1">
        <f t="array" ref="F848">_xlfn.IFS(E848&lt;=35, "18-35", E848&lt;=50, "36-50", E848&lt;=65, "51-65", TRUE, "Over 65")</f>
        <v>18-35</v>
      </c>
      <c r="G848" t="s">
        <v>16</v>
      </c>
      <c r="H848">
        <v>4</v>
      </c>
      <c r="I848" s="2">
        <v>300</v>
      </c>
      <c r="J848" s="2">
        <v>1200</v>
      </c>
    </row>
    <row r="849" spans="1:10" x14ac:dyDescent="0.35">
      <c r="A849">
        <v>848</v>
      </c>
      <c r="B849" s="1">
        <v>44970</v>
      </c>
      <c r="C849" t="s">
        <v>861</v>
      </c>
      <c r="D849" t="s">
        <v>13</v>
      </c>
      <c r="E849">
        <v>63</v>
      </c>
      <c r="F849" t="str" cm="1">
        <f t="array" ref="F849">_xlfn.IFS(E849&lt;=35, "18-35", E849&lt;=50, "36-50", E849&lt;=65, "51-65", TRUE, "Over 65")</f>
        <v>51-65</v>
      </c>
      <c r="G849" t="s">
        <v>14</v>
      </c>
      <c r="H849">
        <v>3</v>
      </c>
      <c r="I849" s="2">
        <v>25</v>
      </c>
      <c r="J849" s="2">
        <v>75</v>
      </c>
    </row>
    <row r="850" spans="1:10" x14ac:dyDescent="0.35">
      <c r="A850">
        <v>849</v>
      </c>
      <c r="B850" s="1">
        <v>45050</v>
      </c>
      <c r="C850" t="s">
        <v>862</v>
      </c>
      <c r="D850" t="s">
        <v>10</v>
      </c>
      <c r="E850">
        <v>32</v>
      </c>
      <c r="F850" t="str" cm="1">
        <f t="array" ref="F850">_xlfn.IFS(E850&lt;=35, "18-35", E850&lt;=50, "36-50", E850&lt;=65, "51-65", TRUE, "Over 65")</f>
        <v>18-35</v>
      </c>
      <c r="G850" t="s">
        <v>14</v>
      </c>
      <c r="H850">
        <v>2</v>
      </c>
      <c r="I850" s="2">
        <v>25</v>
      </c>
      <c r="J850" s="2">
        <v>50</v>
      </c>
    </row>
    <row r="851" spans="1:10" x14ac:dyDescent="0.35">
      <c r="A851">
        <v>850</v>
      </c>
      <c r="B851" s="1">
        <v>45135</v>
      </c>
      <c r="C851" t="s">
        <v>863</v>
      </c>
      <c r="D851" t="s">
        <v>13</v>
      </c>
      <c r="E851">
        <v>26</v>
      </c>
      <c r="F851" t="str" cm="1">
        <f t="array" ref="F851">_xlfn.IFS(E851&lt;=35, "18-35", E851&lt;=50, "36-50", E851&lt;=65, "51-65", TRUE, "Over 65")</f>
        <v>18-35</v>
      </c>
      <c r="G851" t="s">
        <v>11</v>
      </c>
      <c r="H851">
        <v>2</v>
      </c>
      <c r="I851" s="2">
        <v>500</v>
      </c>
      <c r="J851" s="2">
        <v>1000</v>
      </c>
    </row>
    <row r="852" spans="1:10" x14ac:dyDescent="0.35">
      <c r="A852">
        <v>851</v>
      </c>
      <c r="B852" s="1">
        <v>45177</v>
      </c>
      <c r="C852" t="s">
        <v>864</v>
      </c>
      <c r="D852" t="s">
        <v>10</v>
      </c>
      <c r="E852">
        <v>32</v>
      </c>
      <c r="F852" t="str" cm="1">
        <f t="array" ref="F852">_xlfn.IFS(E852&lt;=35, "18-35", E852&lt;=50, "36-50", E852&lt;=65, "51-65", TRUE, "Over 65")</f>
        <v>18-35</v>
      </c>
      <c r="G852" t="s">
        <v>16</v>
      </c>
      <c r="H852">
        <v>2</v>
      </c>
      <c r="I852" s="2">
        <v>25</v>
      </c>
      <c r="J852" s="2">
        <v>50</v>
      </c>
    </row>
    <row r="853" spans="1:10" x14ac:dyDescent="0.35">
      <c r="A853">
        <v>852</v>
      </c>
      <c r="B853" s="1">
        <v>45211</v>
      </c>
      <c r="C853" t="s">
        <v>865</v>
      </c>
      <c r="D853" t="s">
        <v>13</v>
      </c>
      <c r="E853">
        <v>41</v>
      </c>
      <c r="F853" t="str" cm="1">
        <f t="array" ref="F853">_xlfn.IFS(E853&lt;=35, "18-35", E853&lt;=50, "36-50", E853&lt;=65, "51-65", TRUE, "Over 65")</f>
        <v>36-50</v>
      </c>
      <c r="G853" t="s">
        <v>14</v>
      </c>
      <c r="H853">
        <v>1</v>
      </c>
      <c r="I853" s="2">
        <v>300</v>
      </c>
      <c r="J853" s="2">
        <v>300</v>
      </c>
    </row>
    <row r="854" spans="1:10" x14ac:dyDescent="0.35">
      <c r="A854">
        <v>853</v>
      </c>
      <c r="B854" s="1">
        <v>45050</v>
      </c>
      <c r="C854" t="s">
        <v>866</v>
      </c>
      <c r="D854" t="s">
        <v>10</v>
      </c>
      <c r="E854">
        <v>21</v>
      </c>
      <c r="F854" t="str" cm="1">
        <f t="array" ref="F854">_xlfn.IFS(E854&lt;=35, "18-35", E854&lt;=50, "36-50", E854&lt;=65, "51-65", TRUE, "Over 65")</f>
        <v>18-35</v>
      </c>
      <c r="G854" t="s">
        <v>11</v>
      </c>
      <c r="H854">
        <v>2</v>
      </c>
      <c r="I854" s="2">
        <v>500</v>
      </c>
      <c r="J854" s="2">
        <v>1000</v>
      </c>
    </row>
    <row r="855" spans="1:10" x14ac:dyDescent="0.35">
      <c r="A855">
        <v>854</v>
      </c>
      <c r="B855" s="1">
        <v>45280</v>
      </c>
      <c r="C855" t="s">
        <v>867</v>
      </c>
      <c r="D855" t="s">
        <v>10</v>
      </c>
      <c r="E855">
        <v>29</v>
      </c>
      <c r="F855" t="str" cm="1">
        <f t="array" ref="F855">_xlfn.IFS(E855&lt;=35, "18-35", E855&lt;=50, "36-50", E855&lt;=65, "51-65", TRUE, "Over 65")</f>
        <v>18-35</v>
      </c>
      <c r="G855" t="s">
        <v>14</v>
      </c>
      <c r="H855">
        <v>1</v>
      </c>
      <c r="I855" s="2">
        <v>50</v>
      </c>
      <c r="J855" s="2">
        <v>50</v>
      </c>
    </row>
    <row r="856" spans="1:10" x14ac:dyDescent="0.35">
      <c r="A856">
        <v>855</v>
      </c>
      <c r="B856" s="1">
        <v>45170</v>
      </c>
      <c r="C856" t="s">
        <v>868</v>
      </c>
      <c r="D856" t="s">
        <v>10</v>
      </c>
      <c r="E856">
        <v>54</v>
      </c>
      <c r="F856" t="str" cm="1">
        <f t="array" ref="F856">_xlfn.IFS(E856&lt;=35, "18-35", E856&lt;=50, "36-50", E856&lt;=65, "51-65", TRUE, "Over 65")</f>
        <v>51-65</v>
      </c>
      <c r="G856" t="s">
        <v>11</v>
      </c>
      <c r="H856">
        <v>1</v>
      </c>
      <c r="I856" s="2">
        <v>25</v>
      </c>
      <c r="J856" s="2">
        <v>25</v>
      </c>
    </row>
    <row r="857" spans="1:10" x14ac:dyDescent="0.35">
      <c r="A857">
        <v>856</v>
      </c>
      <c r="B857" s="1">
        <v>45257</v>
      </c>
      <c r="C857" t="s">
        <v>869</v>
      </c>
      <c r="D857" t="s">
        <v>10</v>
      </c>
      <c r="E857">
        <v>54</v>
      </c>
      <c r="F857" t="str" cm="1">
        <f t="array" ref="F857">_xlfn.IFS(E857&lt;=35, "18-35", E857&lt;=50, "36-50", E857&lt;=65, "51-65", TRUE, "Over 65")</f>
        <v>51-65</v>
      </c>
      <c r="G857" t="s">
        <v>16</v>
      </c>
      <c r="H857">
        <v>4</v>
      </c>
      <c r="I857" s="2">
        <v>30</v>
      </c>
      <c r="J857" s="2">
        <v>120</v>
      </c>
    </row>
    <row r="858" spans="1:10" x14ac:dyDescent="0.35">
      <c r="A858">
        <v>857</v>
      </c>
      <c r="B858" s="1">
        <v>45291</v>
      </c>
      <c r="C858" t="s">
        <v>870</v>
      </c>
      <c r="D858" t="s">
        <v>10</v>
      </c>
      <c r="E858">
        <v>60</v>
      </c>
      <c r="F858" t="str" cm="1">
        <f t="array" ref="F858">_xlfn.IFS(E858&lt;=35, "18-35", E858&lt;=50, "36-50", E858&lt;=65, "51-65", TRUE, "Over 65")</f>
        <v>51-65</v>
      </c>
      <c r="G858" t="s">
        <v>16</v>
      </c>
      <c r="H858">
        <v>2</v>
      </c>
      <c r="I858" s="2">
        <v>25</v>
      </c>
      <c r="J858" s="2">
        <v>50</v>
      </c>
    </row>
    <row r="859" spans="1:10" x14ac:dyDescent="0.35">
      <c r="A859">
        <v>858</v>
      </c>
      <c r="B859" s="1">
        <v>45178</v>
      </c>
      <c r="C859" t="s">
        <v>871</v>
      </c>
      <c r="D859" t="s">
        <v>10</v>
      </c>
      <c r="E859">
        <v>23</v>
      </c>
      <c r="F859" t="str" cm="1">
        <f t="array" ref="F859">_xlfn.IFS(E859&lt;=35, "18-35", E859&lt;=50, "36-50", E859&lt;=65, "51-65", TRUE, "Over 65")</f>
        <v>18-35</v>
      </c>
      <c r="G859" t="s">
        <v>16</v>
      </c>
      <c r="H859">
        <v>2</v>
      </c>
      <c r="I859" s="2">
        <v>50</v>
      </c>
      <c r="J859" s="2">
        <v>100</v>
      </c>
    </row>
    <row r="860" spans="1:10" x14ac:dyDescent="0.35">
      <c r="A860">
        <v>859</v>
      </c>
      <c r="B860" s="1">
        <v>45156</v>
      </c>
      <c r="C860" t="s">
        <v>872</v>
      </c>
      <c r="D860" t="s">
        <v>13</v>
      </c>
      <c r="E860">
        <v>56</v>
      </c>
      <c r="F860" t="str" cm="1">
        <f t="array" ref="F860">_xlfn.IFS(E860&lt;=35, "18-35", E860&lt;=50, "36-50", E860&lt;=65, "51-65", TRUE, "Over 65")</f>
        <v>51-65</v>
      </c>
      <c r="G860" t="s">
        <v>16</v>
      </c>
      <c r="H860">
        <v>3</v>
      </c>
      <c r="I860" s="2">
        <v>500</v>
      </c>
      <c r="J860" s="2">
        <v>1500</v>
      </c>
    </row>
    <row r="861" spans="1:10" x14ac:dyDescent="0.35">
      <c r="A861">
        <v>860</v>
      </c>
      <c r="B861" s="1">
        <v>44935</v>
      </c>
      <c r="C861" t="s">
        <v>873</v>
      </c>
      <c r="D861" t="s">
        <v>10</v>
      </c>
      <c r="E861">
        <v>63</v>
      </c>
      <c r="F861" t="str" cm="1">
        <f t="array" ref="F861">_xlfn.IFS(E861&lt;=35, "18-35", E861&lt;=50, "36-50", E861&lt;=65, "51-65", TRUE, "Over 65")</f>
        <v>51-65</v>
      </c>
      <c r="G861" t="s">
        <v>14</v>
      </c>
      <c r="H861">
        <v>4</v>
      </c>
      <c r="I861" s="2">
        <v>50</v>
      </c>
      <c r="J861" s="2">
        <v>200</v>
      </c>
    </row>
    <row r="862" spans="1:10" x14ac:dyDescent="0.35">
      <c r="A862">
        <v>861</v>
      </c>
      <c r="B862" s="1">
        <v>44974</v>
      </c>
      <c r="C862" t="s">
        <v>874</v>
      </c>
      <c r="D862" t="s">
        <v>13</v>
      </c>
      <c r="E862">
        <v>41</v>
      </c>
      <c r="F862" t="str" cm="1">
        <f t="array" ref="F862">_xlfn.IFS(E862&lt;=35, "18-35", E862&lt;=50, "36-50", E862&lt;=65, "51-65", TRUE, "Over 65")</f>
        <v>36-50</v>
      </c>
      <c r="G862" t="s">
        <v>14</v>
      </c>
      <c r="H862">
        <v>3</v>
      </c>
      <c r="I862" s="2">
        <v>30</v>
      </c>
      <c r="J862" s="2">
        <v>90</v>
      </c>
    </row>
    <row r="863" spans="1:10" x14ac:dyDescent="0.35">
      <c r="A863">
        <v>862</v>
      </c>
      <c r="B863" s="1">
        <v>45077</v>
      </c>
      <c r="C863" t="s">
        <v>875</v>
      </c>
      <c r="D863" t="s">
        <v>10</v>
      </c>
      <c r="E863">
        <v>28</v>
      </c>
      <c r="F863" t="str" cm="1">
        <f t="array" ref="F863">_xlfn.IFS(E863&lt;=35, "18-35", E863&lt;=50, "36-50", E863&lt;=65, "51-65", TRUE, "Over 65")</f>
        <v>18-35</v>
      </c>
      <c r="G863" t="s">
        <v>16</v>
      </c>
      <c r="H863">
        <v>4</v>
      </c>
      <c r="I863" s="2">
        <v>300</v>
      </c>
      <c r="J863" s="2">
        <v>1200</v>
      </c>
    </row>
    <row r="864" spans="1:10" x14ac:dyDescent="0.35">
      <c r="A864">
        <v>863</v>
      </c>
      <c r="B864" s="1">
        <v>45040</v>
      </c>
      <c r="C864" t="s">
        <v>876</v>
      </c>
      <c r="D864" t="s">
        <v>13</v>
      </c>
      <c r="E864">
        <v>30</v>
      </c>
      <c r="F864" t="str" cm="1">
        <f t="array" ref="F864">_xlfn.IFS(E864&lt;=35, "18-35", E864&lt;=50, "36-50", E864&lt;=65, "51-65", TRUE, "Over 65")</f>
        <v>18-35</v>
      </c>
      <c r="G864" t="s">
        <v>16</v>
      </c>
      <c r="H864">
        <v>2</v>
      </c>
      <c r="I864" s="2">
        <v>25</v>
      </c>
      <c r="J864" s="2">
        <v>50</v>
      </c>
    </row>
    <row r="865" spans="1:10" x14ac:dyDescent="0.35">
      <c r="A865">
        <v>864</v>
      </c>
      <c r="B865" s="1">
        <v>45134</v>
      </c>
      <c r="C865" t="s">
        <v>877</v>
      </c>
      <c r="D865" t="s">
        <v>13</v>
      </c>
      <c r="E865">
        <v>51</v>
      </c>
      <c r="F865" t="str" cm="1">
        <f t="array" ref="F865">_xlfn.IFS(E865&lt;=35, "18-35", E865&lt;=50, "36-50", E865&lt;=65, "51-65", TRUE, "Over 65")</f>
        <v>51-65</v>
      </c>
      <c r="G865" t="s">
        <v>16</v>
      </c>
      <c r="H865">
        <v>1</v>
      </c>
      <c r="I865" s="2">
        <v>500</v>
      </c>
      <c r="J865" s="2">
        <v>500</v>
      </c>
    </row>
    <row r="866" spans="1:10" x14ac:dyDescent="0.35">
      <c r="A866">
        <v>865</v>
      </c>
      <c r="B866" s="1">
        <v>45281</v>
      </c>
      <c r="C866" t="s">
        <v>878</v>
      </c>
      <c r="D866" t="s">
        <v>13</v>
      </c>
      <c r="E866">
        <v>42</v>
      </c>
      <c r="F866" t="str" cm="1">
        <f t="array" ref="F866">_xlfn.IFS(E866&lt;=35, "18-35", E866&lt;=50, "36-50", E866&lt;=65, "51-65", TRUE, "Over 65")</f>
        <v>36-50</v>
      </c>
      <c r="G866" t="s">
        <v>14</v>
      </c>
      <c r="H866">
        <v>1</v>
      </c>
      <c r="I866" s="2">
        <v>300</v>
      </c>
      <c r="J866" s="2">
        <v>300</v>
      </c>
    </row>
    <row r="867" spans="1:10" x14ac:dyDescent="0.35">
      <c r="A867">
        <v>866</v>
      </c>
      <c r="B867" s="1">
        <v>45051</v>
      </c>
      <c r="C867" t="s">
        <v>879</v>
      </c>
      <c r="D867" t="s">
        <v>10</v>
      </c>
      <c r="E867">
        <v>24</v>
      </c>
      <c r="F867" t="str" cm="1">
        <f t="array" ref="F867">_xlfn.IFS(E867&lt;=35, "18-35", E867&lt;=50, "36-50", E867&lt;=65, "51-65", TRUE, "Over 65")</f>
        <v>18-35</v>
      </c>
      <c r="G867" t="s">
        <v>16</v>
      </c>
      <c r="H867">
        <v>1</v>
      </c>
      <c r="I867" s="2">
        <v>50</v>
      </c>
      <c r="J867" s="2">
        <v>50</v>
      </c>
    </row>
    <row r="868" spans="1:10" x14ac:dyDescent="0.35">
      <c r="A868">
        <v>867</v>
      </c>
      <c r="B868" s="1">
        <v>45083</v>
      </c>
      <c r="C868" t="s">
        <v>880</v>
      </c>
      <c r="D868" t="s">
        <v>10</v>
      </c>
      <c r="E868">
        <v>21</v>
      </c>
      <c r="F868" t="str" cm="1">
        <f t="array" ref="F868">_xlfn.IFS(E868&lt;=35, "18-35", E868&lt;=50, "36-50", E868&lt;=65, "51-65", TRUE, "Over 65")</f>
        <v>18-35</v>
      </c>
      <c r="G868" t="s">
        <v>16</v>
      </c>
      <c r="H868">
        <v>1</v>
      </c>
      <c r="I868" s="2">
        <v>500</v>
      </c>
      <c r="J868" s="2">
        <v>500</v>
      </c>
    </row>
    <row r="869" spans="1:10" x14ac:dyDescent="0.35">
      <c r="A869">
        <v>868</v>
      </c>
      <c r="B869" s="1">
        <v>45266</v>
      </c>
      <c r="C869" t="s">
        <v>881</v>
      </c>
      <c r="D869" t="s">
        <v>13</v>
      </c>
      <c r="E869">
        <v>25</v>
      </c>
      <c r="F869" t="str" cm="1">
        <f t="array" ref="F869">_xlfn.IFS(E869&lt;=35, "18-35", E869&lt;=50, "36-50", E869&lt;=65, "51-65", TRUE, "Over 65")</f>
        <v>18-35</v>
      </c>
      <c r="G869" t="s">
        <v>16</v>
      </c>
      <c r="H869">
        <v>1</v>
      </c>
      <c r="I869" s="2">
        <v>300</v>
      </c>
      <c r="J869" s="2">
        <v>300</v>
      </c>
    </row>
    <row r="870" spans="1:10" x14ac:dyDescent="0.35">
      <c r="A870">
        <v>869</v>
      </c>
      <c r="B870" s="1">
        <v>45224</v>
      </c>
      <c r="C870" t="s">
        <v>882</v>
      </c>
      <c r="D870" t="s">
        <v>10</v>
      </c>
      <c r="E870">
        <v>37</v>
      </c>
      <c r="F870" t="str" cm="1">
        <f t="array" ref="F870">_xlfn.IFS(E870&lt;=35, "18-35", E870&lt;=50, "36-50", E870&lt;=65, "51-65", TRUE, "Over 65")</f>
        <v>36-50</v>
      </c>
      <c r="G870" t="s">
        <v>11</v>
      </c>
      <c r="H870">
        <v>3</v>
      </c>
      <c r="I870" s="2">
        <v>500</v>
      </c>
      <c r="J870" s="2">
        <v>1500</v>
      </c>
    </row>
    <row r="871" spans="1:10" x14ac:dyDescent="0.35">
      <c r="A871">
        <v>870</v>
      </c>
      <c r="B871" s="1">
        <v>45115</v>
      </c>
      <c r="C871" t="s">
        <v>883</v>
      </c>
      <c r="D871" t="s">
        <v>13</v>
      </c>
      <c r="E871">
        <v>46</v>
      </c>
      <c r="F871" t="str" cm="1">
        <f t="array" ref="F871">_xlfn.IFS(E871&lt;=35, "18-35", E871&lt;=50, "36-50", E871&lt;=65, "51-65", TRUE, "Over 65")</f>
        <v>36-50</v>
      </c>
      <c r="G871" t="s">
        <v>16</v>
      </c>
      <c r="H871">
        <v>4</v>
      </c>
      <c r="I871" s="2">
        <v>30</v>
      </c>
      <c r="J871" s="2">
        <v>120</v>
      </c>
    </row>
    <row r="872" spans="1:10" x14ac:dyDescent="0.35">
      <c r="A872">
        <v>871</v>
      </c>
      <c r="B872" s="1">
        <v>45169</v>
      </c>
      <c r="C872" t="s">
        <v>884</v>
      </c>
      <c r="D872" t="s">
        <v>10</v>
      </c>
      <c r="E872">
        <v>62</v>
      </c>
      <c r="F872" t="str" cm="1">
        <f t="array" ref="F872">_xlfn.IFS(E872&lt;=35, "18-35", E872&lt;=50, "36-50", E872&lt;=65, "51-65", TRUE, "Over 65")</f>
        <v>51-65</v>
      </c>
      <c r="G872" t="s">
        <v>11</v>
      </c>
      <c r="H872">
        <v>2</v>
      </c>
      <c r="I872" s="2">
        <v>30</v>
      </c>
      <c r="J872" s="2">
        <v>60</v>
      </c>
    </row>
    <row r="873" spans="1:10" x14ac:dyDescent="0.35">
      <c r="A873">
        <v>872</v>
      </c>
      <c r="B873" s="1">
        <v>45210</v>
      </c>
      <c r="C873" t="s">
        <v>885</v>
      </c>
      <c r="D873" t="s">
        <v>13</v>
      </c>
      <c r="E873">
        <v>63</v>
      </c>
      <c r="F873" t="str" cm="1">
        <f t="array" ref="F873">_xlfn.IFS(E873&lt;=35, "18-35", E873&lt;=50, "36-50", E873&lt;=65, "51-65", TRUE, "Over 65")</f>
        <v>51-65</v>
      </c>
      <c r="G873" t="s">
        <v>11</v>
      </c>
      <c r="H873">
        <v>3</v>
      </c>
      <c r="I873" s="2">
        <v>25</v>
      </c>
      <c r="J873" s="2">
        <v>75</v>
      </c>
    </row>
    <row r="874" spans="1:10" x14ac:dyDescent="0.35">
      <c r="A874">
        <v>873</v>
      </c>
      <c r="B874" s="1">
        <v>45198</v>
      </c>
      <c r="C874" t="s">
        <v>886</v>
      </c>
      <c r="D874" t="s">
        <v>13</v>
      </c>
      <c r="E874">
        <v>27</v>
      </c>
      <c r="F874" t="str" cm="1">
        <f t="array" ref="F874">_xlfn.IFS(E874&lt;=35, "18-35", E874&lt;=50, "36-50", E874&lt;=65, "51-65", TRUE, "Over 65")</f>
        <v>18-35</v>
      </c>
      <c r="G874" t="s">
        <v>16</v>
      </c>
      <c r="H874">
        <v>4</v>
      </c>
      <c r="I874" s="2">
        <v>25</v>
      </c>
      <c r="J874" s="2">
        <v>100</v>
      </c>
    </row>
    <row r="875" spans="1:10" x14ac:dyDescent="0.35">
      <c r="A875">
        <v>874</v>
      </c>
      <c r="B875" s="1">
        <v>45103</v>
      </c>
      <c r="C875" t="s">
        <v>887</v>
      </c>
      <c r="D875" t="s">
        <v>10</v>
      </c>
      <c r="E875">
        <v>60</v>
      </c>
      <c r="F875" t="str" cm="1">
        <f t="array" ref="F875">_xlfn.IFS(E875&lt;=35, "18-35", E875&lt;=50, "36-50", E875&lt;=65, "51-65", TRUE, "Over 65")</f>
        <v>51-65</v>
      </c>
      <c r="G875" t="s">
        <v>11</v>
      </c>
      <c r="H875">
        <v>1</v>
      </c>
      <c r="I875" s="2">
        <v>30</v>
      </c>
      <c r="J875" s="2">
        <v>30</v>
      </c>
    </row>
    <row r="876" spans="1:10" x14ac:dyDescent="0.35">
      <c r="A876">
        <v>875</v>
      </c>
      <c r="B876" s="1">
        <v>45144</v>
      </c>
      <c r="C876" t="s">
        <v>888</v>
      </c>
      <c r="D876" t="s">
        <v>13</v>
      </c>
      <c r="E876">
        <v>51</v>
      </c>
      <c r="F876" t="str" cm="1">
        <f t="array" ref="F876">_xlfn.IFS(E876&lt;=35, "18-35", E876&lt;=50, "36-50", E876&lt;=65, "51-65", TRUE, "Over 65")</f>
        <v>51-65</v>
      </c>
      <c r="G876" t="s">
        <v>16</v>
      </c>
      <c r="H876">
        <v>4</v>
      </c>
      <c r="I876" s="2">
        <v>500</v>
      </c>
      <c r="J876" s="2">
        <v>2000</v>
      </c>
    </row>
    <row r="877" spans="1:10" x14ac:dyDescent="0.35">
      <c r="A877">
        <v>876</v>
      </c>
      <c r="B877" s="1">
        <v>45208</v>
      </c>
      <c r="C877" t="s">
        <v>889</v>
      </c>
      <c r="D877" t="s">
        <v>10</v>
      </c>
      <c r="E877">
        <v>43</v>
      </c>
      <c r="F877" t="str" cm="1">
        <f t="array" ref="F877">_xlfn.IFS(E877&lt;=35, "18-35", E877&lt;=50, "36-50", E877&lt;=65, "51-65", TRUE, "Over 65")</f>
        <v>36-50</v>
      </c>
      <c r="G877" t="s">
        <v>14</v>
      </c>
      <c r="H877">
        <v>4</v>
      </c>
      <c r="I877" s="2">
        <v>30</v>
      </c>
      <c r="J877" s="2">
        <v>120</v>
      </c>
    </row>
    <row r="878" spans="1:10" x14ac:dyDescent="0.35">
      <c r="A878">
        <v>877</v>
      </c>
      <c r="B878" s="1">
        <v>45096</v>
      </c>
      <c r="C878" t="s">
        <v>890</v>
      </c>
      <c r="D878" t="s">
        <v>13</v>
      </c>
      <c r="E878">
        <v>58</v>
      </c>
      <c r="F878" t="str" cm="1">
        <f t="array" ref="F878">_xlfn.IFS(E878&lt;=35, "18-35", E878&lt;=50, "36-50", E878&lt;=65, "51-65", TRUE, "Over 65")</f>
        <v>51-65</v>
      </c>
      <c r="G878" t="s">
        <v>14</v>
      </c>
      <c r="H878">
        <v>1</v>
      </c>
      <c r="I878" s="2">
        <v>25</v>
      </c>
      <c r="J878" s="2">
        <v>25</v>
      </c>
    </row>
    <row r="879" spans="1:10" x14ac:dyDescent="0.35">
      <c r="A879">
        <v>878</v>
      </c>
      <c r="B879" s="1">
        <v>45107</v>
      </c>
      <c r="C879" t="s">
        <v>891</v>
      </c>
      <c r="D879" t="s">
        <v>13</v>
      </c>
      <c r="E879">
        <v>20</v>
      </c>
      <c r="F879" t="str" cm="1">
        <f t="array" ref="F879">_xlfn.IFS(E879&lt;=35, "18-35", E879&lt;=50, "36-50", E879&lt;=65, "51-65", TRUE, "Over 65")</f>
        <v>18-35</v>
      </c>
      <c r="G879" t="s">
        <v>14</v>
      </c>
      <c r="H879">
        <v>1</v>
      </c>
      <c r="I879" s="2">
        <v>30</v>
      </c>
      <c r="J879" s="2">
        <v>30</v>
      </c>
    </row>
    <row r="880" spans="1:10" x14ac:dyDescent="0.35">
      <c r="A880">
        <v>879</v>
      </c>
      <c r="B880" s="1">
        <v>45286</v>
      </c>
      <c r="C880" t="s">
        <v>892</v>
      </c>
      <c r="D880" t="s">
        <v>10</v>
      </c>
      <c r="E880">
        <v>23</v>
      </c>
      <c r="F880" t="str" cm="1">
        <f t="array" ref="F880">_xlfn.IFS(E880&lt;=35, "18-35", E880&lt;=50, "36-50", E880&lt;=65, "51-65", TRUE, "Over 65")</f>
        <v>18-35</v>
      </c>
      <c r="G880" t="s">
        <v>14</v>
      </c>
      <c r="H880">
        <v>1</v>
      </c>
      <c r="I880" s="2">
        <v>30</v>
      </c>
      <c r="J880" s="2">
        <v>30</v>
      </c>
    </row>
    <row r="881" spans="1:10" x14ac:dyDescent="0.35">
      <c r="A881">
        <v>880</v>
      </c>
      <c r="B881" s="1">
        <v>45159</v>
      </c>
      <c r="C881" t="s">
        <v>893</v>
      </c>
      <c r="D881" t="s">
        <v>10</v>
      </c>
      <c r="E881">
        <v>22</v>
      </c>
      <c r="F881" t="str" cm="1">
        <f t="array" ref="F881">_xlfn.IFS(E881&lt;=35, "18-35", E881&lt;=50, "36-50", E881&lt;=65, "51-65", TRUE, "Over 65")</f>
        <v>18-35</v>
      </c>
      <c r="G881" t="s">
        <v>11</v>
      </c>
      <c r="H881">
        <v>2</v>
      </c>
      <c r="I881" s="2">
        <v>500</v>
      </c>
      <c r="J881" s="2">
        <v>1000</v>
      </c>
    </row>
    <row r="882" spans="1:10" x14ac:dyDescent="0.35">
      <c r="A882">
        <v>881</v>
      </c>
      <c r="B882" s="1">
        <v>45065</v>
      </c>
      <c r="C882" t="s">
        <v>894</v>
      </c>
      <c r="D882" t="s">
        <v>10</v>
      </c>
      <c r="E882">
        <v>22</v>
      </c>
      <c r="F882" t="str" cm="1">
        <f t="array" ref="F882">_xlfn.IFS(E882&lt;=35, "18-35", E882&lt;=50, "36-50", E882&lt;=65, "51-65", TRUE, "Over 65")</f>
        <v>18-35</v>
      </c>
      <c r="G882" t="s">
        <v>16</v>
      </c>
      <c r="H882">
        <v>1</v>
      </c>
      <c r="I882" s="2">
        <v>300</v>
      </c>
      <c r="J882" s="2">
        <v>300</v>
      </c>
    </row>
    <row r="883" spans="1:10" x14ac:dyDescent="0.35">
      <c r="A883">
        <v>882</v>
      </c>
      <c r="B883" s="1">
        <v>45083</v>
      </c>
      <c r="C883" t="s">
        <v>895</v>
      </c>
      <c r="D883" t="s">
        <v>13</v>
      </c>
      <c r="E883">
        <v>64</v>
      </c>
      <c r="F883" t="str" cm="1">
        <f t="array" ref="F883">_xlfn.IFS(E883&lt;=35, "18-35", E883&lt;=50, "36-50", E883&lt;=65, "51-65", TRUE, "Over 65")</f>
        <v>51-65</v>
      </c>
      <c r="G883" t="s">
        <v>16</v>
      </c>
      <c r="H883">
        <v>2</v>
      </c>
      <c r="I883" s="2">
        <v>25</v>
      </c>
      <c r="J883" s="2">
        <v>50</v>
      </c>
    </row>
    <row r="884" spans="1:10" x14ac:dyDescent="0.35">
      <c r="A884">
        <v>883</v>
      </c>
      <c r="B884" s="1">
        <v>45055</v>
      </c>
      <c r="C884" t="s">
        <v>896</v>
      </c>
      <c r="D884" t="s">
        <v>10</v>
      </c>
      <c r="E884">
        <v>40</v>
      </c>
      <c r="F884" t="str" cm="1">
        <f t="array" ref="F884">_xlfn.IFS(E884&lt;=35, "18-35", E884&lt;=50, "36-50", E884&lt;=65, "51-65", TRUE, "Over 65")</f>
        <v>36-50</v>
      </c>
      <c r="G884" t="s">
        <v>16</v>
      </c>
      <c r="H884">
        <v>1</v>
      </c>
      <c r="I884" s="2">
        <v>500</v>
      </c>
      <c r="J884" s="2">
        <v>500</v>
      </c>
    </row>
    <row r="885" spans="1:10" x14ac:dyDescent="0.35">
      <c r="A885">
        <v>884</v>
      </c>
      <c r="B885" s="1">
        <v>45045</v>
      </c>
      <c r="C885" t="s">
        <v>897</v>
      </c>
      <c r="D885" t="s">
        <v>13</v>
      </c>
      <c r="E885">
        <v>26</v>
      </c>
      <c r="F885" t="str" cm="1">
        <f t="array" ref="F885">_xlfn.IFS(E885&lt;=35, "18-35", E885&lt;=50, "36-50", E885&lt;=65, "51-65", TRUE, "Over 65")</f>
        <v>18-35</v>
      </c>
      <c r="G885" t="s">
        <v>14</v>
      </c>
      <c r="H885">
        <v>2</v>
      </c>
      <c r="I885" s="2">
        <v>30</v>
      </c>
      <c r="J885" s="2">
        <v>60</v>
      </c>
    </row>
    <row r="886" spans="1:10" x14ac:dyDescent="0.35">
      <c r="A886">
        <v>885</v>
      </c>
      <c r="B886" s="1">
        <v>44988</v>
      </c>
      <c r="C886" t="s">
        <v>898</v>
      </c>
      <c r="D886" t="s">
        <v>13</v>
      </c>
      <c r="E886">
        <v>52</v>
      </c>
      <c r="F886" t="str" cm="1">
        <f t="array" ref="F886">_xlfn.IFS(E886&lt;=35, "18-35", E886&lt;=50, "36-50", E886&lt;=65, "51-65", TRUE, "Over 65")</f>
        <v>51-65</v>
      </c>
      <c r="G886" t="s">
        <v>14</v>
      </c>
      <c r="H886">
        <v>4</v>
      </c>
      <c r="I886" s="2">
        <v>30</v>
      </c>
      <c r="J886" s="2">
        <v>120</v>
      </c>
    </row>
    <row r="887" spans="1:10" x14ac:dyDescent="0.35">
      <c r="A887">
        <v>886</v>
      </c>
      <c r="B887" s="1">
        <v>45025</v>
      </c>
      <c r="C887" t="s">
        <v>899</v>
      </c>
      <c r="D887" t="s">
        <v>10</v>
      </c>
      <c r="E887">
        <v>37</v>
      </c>
      <c r="F887" t="str" cm="1">
        <f t="array" ref="F887">_xlfn.IFS(E887&lt;=35, "18-35", E887&lt;=50, "36-50", E887&lt;=65, "51-65", TRUE, "Over 65")</f>
        <v>36-50</v>
      </c>
      <c r="G887" t="s">
        <v>16</v>
      </c>
      <c r="H887">
        <v>3</v>
      </c>
      <c r="I887" s="2">
        <v>300</v>
      </c>
      <c r="J887" s="2">
        <v>900</v>
      </c>
    </row>
    <row r="888" spans="1:10" x14ac:dyDescent="0.35">
      <c r="A888">
        <v>887</v>
      </c>
      <c r="B888" s="1">
        <v>45088</v>
      </c>
      <c r="C888" t="s">
        <v>900</v>
      </c>
      <c r="D888" t="s">
        <v>10</v>
      </c>
      <c r="E888">
        <v>59</v>
      </c>
      <c r="F888" t="str" cm="1">
        <f t="array" ref="F888">_xlfn.IFS(E888&lt;=35, "18-35", E888&lt;=50, "36-50", E888&lt;=65, "51-65", TRUE, "Over 65")</f>
        <v>51-65</v>
      </c>
      <c r="G888" t="s">
        <v>14</v>
      </c>
      <c r="H888">
        <v>4</v>
      </c>
      <c r="I888" s="2">
        <v>25</v>
      </c>
      <c r="J888" s="2">
        <v>100</v>
      </c>
    </row>
    <row r="889" spans="1:10" x14ac:dyDescent="0.35">
      <c r="A889">
        <v>888</v>
      </c>
      <c r="B889" s="1">
        <v>44988</v>
      </c>
      <c r="C889" t="s">
        <v>901</v>
      </c>
      <c r="D889" t="s">
        <v>13</v>
      </c>
      <c r="E889">
        <v>52</v>
      </c>
      <c r="F889" t="str" cm="1">
        <f t="array" ref="F889">_xlfn.IFS(E889&lt;=35, "18-35", E889&lt;=50, "36-50", E889&lt;=65, "51-65", TRUE, "Over 65")</f>
        <v>51-65</v>
      </c>
      <c r="G889" t="s">
        <v>16</v>
      </c>
      <c r="H889">
        <v>4</v>
      </c>
      <c r="I889" s="2">
        <v>25</v>
      </c>
      <c r="J889" s="2">
        <v>100</v>
      </c>
    </row>
    <row r="890" spans="1:10" x14ac:dyDescent="0.35">
      <c r="A890">
        <v>889</v>
      </c>
      <c r="B890" s="1">
        <v>45201</v>
      </c>
      <c r="C890" t="s">
        <v>902</v>
      </c>
      <c r="D890" t="s">
        <v>13</v>
      </c>
      <c r="E890">
        <v>35</v>
      </c>
      <c r="F890" t="str" cm="1">
        <f t="array" ref="F890">_xlfn.IFS(E890&lt;=35, "18-35", E890&lt;=50, "36-50", E890&lt;=65, "51-65", TRUE, "Over 65")</f>
        <v>18-35</v>
      </c>
      <c r="G890" t="s">
        <v>16</v>
      </c>
      <c r="H890">
        <v>1</v>
      </c>
      <c r="I890" s="2">
        <v>50</v>
      </c>
      <c r="J890" s="2">
        <v>50</v>
      </c>
    </row>
    <row r="891" spans="1:10" x14ac:dyDescent="0.35">
      <c r="A891">
        <v>890</v>
      </c>
      <c r="B891" s="1">
        <v>45280</v>
      </c>
      <c r="C891" t="s">
        <v>903</v>
      </c>
      <c r="D891" t="s">
        <v>10</v>
      </c>
      <c r="E891">
        <v>34</v>
      </c>
      <c r="F891" t="str" cm="1">
        <f t="array" ref="F891">_xlfn.IFS(E891&lt;=35, "18-35", E891&lt;=50, "36-50", E891&lt;=65, "51-65", TRUE, "Over 65")</f>
        <v>18-35</v>
      </c>
      <c r="G891" t="s">
        <v>16</v>
      </c>
      <c r="H891">
        <v>2</v>
      </c>
      <c r="I891" s="2">
        <v>25</v>
      </c>
      <c r="J891" s="2">
        <v>50</v>
      </c>
    </row>
    <row r="892" spans="1:10" x14ac:dyDescent="0.35">
      <c r="A892">
        <v>891</v>
      </c>
      <c r="B892" s="1">
        <v>45021</v>
      </c>
      <c r="C892" t="s">
        <v>904</v>
      </c>
      <c r="D892" t="s">
        <v>10</v>
      </c>
      <c r="E892">
        <v>41</v>
      </c>
      <c r="F892" t="str" cm="1">
        <f t="array" ref="F892">_xlfn.IFS(E892&lt;=35, "18-35", E892&lt;=50, "36-50", E892&lt;=65, "51-65", TRUE, "Over 65")</f>
        <v>36-50</v>
      </c>
      <c r="G892" t="s">
        <v>16</v>
      </c>
      <c r="H892">
        <v>3</v>
      </c>
      <c r="I892" s="2">
        <v>300</v>
      </c>
      <c r="J892" s="2">
        <v>900</v>
      </c>
    </row>
    <row r="893" spans="1:10" x14ac:dyDescent="0.35">
      <c r="A893">
        <v>892</v>
      </c>
      <c r="B893" s="1">
        <v>45025</v>
      </c>
      <c r="C893" t="s">
        <v>905</v>
      </c>
      <c r="D893" t="s">
        <v>10</v>
      </c>
      <c r="E893">
        <v>20</v>
      </c>
      <c r="F893" t="str" cm="1">
        <f t="array" ref="F893">_xlfn.IFS(E893&lt;=35, "18-35", E893&lt;=50, "36-50", E893&lt;=65, "51-65", TRUE, "Over 65")</f>
        <v>18-35</v>
      </c>
      <c r="G893" t="s">
        <v>16</v>
      </c>
      <c r="H893">
        <v>1</v>
      </c>
      <c r="I893" s="2">
        <v>50</v>
      </c>
      <c r="J893" s="2">
        <v>50</v>
      </c>
    </row>
    <row r="894" spans="1:10" x14ac:dyDescent="0.35">
      <c r="A894">
        <v>893</v>
      </c>
      <c r="B894" s="1">
        <v>45037</v>
      </c>
      <c r="C894" t="s">
        <v>906</v>
      </c>
      <c r="D894" t="s">
        <v>10</v>
      </c>
      <c r="E894">
        <v>49</v>
      </c>
      <c r="F894" t="str" cm="1">
        <f t="array" ref="F894">_xlfn.IFS(E894&lt;=35, "18-35", E894&lt;=50, "36-50", E894&lt;=65, "51-65", TRUE, "Over 65")</f>
        <v>36-50</v>
      </c>
      <c r="G894" t="s">
        <v>16</v>
      </c>
      <c r="H894">
        <v>1</v>
      </c>
      <c r="I894" s="2">
        <v>50</v>
      </c>
      <c r="J894" s="2">
        <v>50</v>
      </c>
    </row>
    <row r="895" spans="1:10" x14ac:dyDescent="0.35">
      <c r="A895">
        <v>894</v>
      </c>
      <c r="B895" s="1">
        <v>45174</v>
      </c>
      <c r="C895" t="s">
        <v>907</v>
      </c>
      <c r="D895" t="s">
        <v>10</v>
      </c>
      <c r="E895">
        <v>52</v>
      </c>
      <c r="F895" t="str" cm="1">
        <f t="array" ref="F895">_xlfn.IFS(E895&lt;=35, "18-35", E895&lt;=50, "36-50", E895&lt;=65, "51-65", TRUE, "Over 65")</f>
        <v>51-65</v>
      </c>
      <c r="G895" t="s">
        <v>16</v>
      </c>
      <c r="H895">
        <v>1</v>
      </c>
      <c r="I895" s="2">
        <v>30</v>
      </c>
      <c r="J895" s="2">
        <v>30</v>
      </c>
    </row>
    <row r="896" spans="1:10" x14ac:dyDescent="0.35">
      <c r="A896">
        <v>895</v>
      </c>
      <c r="B896" s="1">
        <v>45068</v>
      </c>
      <c r="C896" t="s">
        <v>908</v>
      </c>
      <c r="D896" t="s">
        <v>13</v>
      </c>
      <c r="E896">
        <v>55</v>
      </c>
      <c r="F896" t="str" cm="1">
        <f t="array" ref="F896">_xlfn.IFS(E896&lt;=35, "18-35", E896&lt;=50, "36-50", E896&lt;=65, "51-65", TRUE, "Over 65")</f>
        <v>51-65</v>
      </c>
      <c r="G896" t="s">
        <v>14</v>
      </c>
      <c r="H896">
        <v>4</v>
      </c>
      <c r="I896" s="2">
        <v>30</v>
      </c>
      <c r="J896" s="2">
        <v>120</v>
      </c>
    </row>
    <row r="897" spans="1:10" x14ac:dyDescent="0.35">
      <c r="A897">
        <v>896</v>
      </c>
      <c r="B897" s="1">
        <v>45228</v>
      </c>
      <c r="C897" t="s">
        <v>909</v>
      </c>
      <c r="D897" t="s">
        <v>13</v>
      </c>
      <c r="E897">
        <v>30</v>
      </c>
      <c r="F897" t="str" cm="1">
        <f t="array" ref="F897">_xlfn.IFS(E897&lt;=35, "18-35", E897&lt;=50, "36-50", E897&lt;=65, "51-65", TRUE, "Over 65")</f>
        <v>18-35</v>
      </c>
      <c r="G897" t="s">
        <v>16</v>
      </c>
      <c r="H897">
        <v>2</v>
      </c>
      <c r="I897" s="2">
        <v>25</v>
      </c>
      <c r="J897" s="2">
        <v>50</v>
      </c>
    </row>
    <row r="898" spans="1:10" x14ac:dyDescent="0.35">
      <c r="A898">
        <v>897</v>
      </c>
      <c r="B898" s="1">
        <v>45195</v>
      </c>
      <c r="C898" t="s">
        <v>910</v>
      </c>
      <c r="D898" t="s">
        <v>13</v>
      </c>
      <c r="E898">
        <v>64</v>
      </c>
      <c r="F898" t="str" cm="1">
        <f t="array" ref="F898">_xlfn.IFS(E898&lt;=35, "18-35", E898&lt;=50, "36-50", E898&lt;=65, "51-65", TRUE, "Over 65")</f>
        <v>51-65</v>
      </c>
      <c r="G898" t="s">
        <v>16</v>
      </c>
      <c r="H898">
        <v>2</v>
      </c>
      <c r="I898" s="2">
        <v>50</v>
      </c>
      <c r="J898" s="2">
        <v>100</v>
      </c>
    </row>
    <row r="899" spans="1:10" x14ac:dyDescent="0.35">
      <c r="A899">
        <v>898</v>
      </c>
      <c r="B899" s="1">
        <v>45232</v>
      </c>
      <c r="C899" t="s">
        <v>911</v>
      </c>
      <c r="D899" t="s">
        <v>13</v>
      </c>
      <c r="E899">
        <v>42</v>
      </c>
      <c r="F899" t="str" cm="1">
        <f t="array" ref="F899">_xlfn.IFS(E899&lt;=35, "18-35", E899&lt;=50, "36-50", E899&lt;=65, "51-65", TRUE, "Over 65")</f>
        <v>36-50</v>
      </c>
      <c r="G899" t="s">
        <v>14</v>
      </c>
      <c r="H899">
        <v>3</v>
      </c>
      <c r="I899" s="2">
        <v>30</v>
      </c>
      <c r="J899" s="2">
        <v>90</v>
      </c>
    </row>
    <row r="900" spans="1:10" x14ac:dyDescent="0.35">
      <c r="A900">
        <v>899</v>
      </c>
      <c r="B900" s="1">
        <v>45071</v>
      </c>
      <c r="C900" t="s">
        <v>912</v>
      </c>
      <c r="D900" t="s">
        <v>10</v>
      </c>
      <c r="E900">
        <v>26</v>
      </c>
      <c r="F900" t="str" cm="1">
        <f t="array" ref="F900">_xlfn.IFS(E900&lt;=35, "18-35", E900&lt;=50, "36-50", E900&lt;=65, "51-65", TRUE, "Over 65")</f>
        <v>18-35</v>
      </c>
      <c r="G900" t="s">
        <v>14</v>
      </c>
      <c r="H900">
        <v>2</v>
      </c>
      <c r="I900" s="2">
        <v>300</v>
      </c>
      <c r="J900" s="2">
        <v>600</v>
      </c>
    </row>
    <row r="901" spans="1:10" x14ac:dyDescent="0.35">
      <c r="A901">
        <v>900</v>
      </c>
      <c r="B901" s="1">
        <v>44978</v>
      </c>
      <c r="C901" t="s">
        <v>913</v>
      </c>
      <c r="D901" t="s">
        <v>10</v>
      </c>
      <c r="E901">
        <v>21</v>
      </c>
      <c r="F901" t="str" cm="1">
        <f t="array" ref="F901">_xlfn.IFS(E901&lt;=35, "18-35", E901&lt;=50, "36-50", E901&lt;=65, "51-65", TRUE, "Over 65")</f>
        <v>18-35</v>
      </c>
      <c r="G901" t="s">
        <v>14</v>
      </c>
      <c r="H901">
        <v>2</v>
      </c>
      <c r="I901" s="2">
        <v>30</v>
      </c>
      <c r="J901" s="2">
        <v>60</v>
      </c>
    </row>
    <row r="902" spans="1:10" x14ac:dyDescent="0.35">
      <c r="A902">
        <v>901</v>
      </c>
      <c r="B902" s="1">
        <v>45026</v>
      </c>
      <c r="C902" t="s">
        <v>914</v>
      </c>
      <c r="D902" t="s">
        <v>10</v>
      </c>
      <c r="E902">
        <v>31</v>
      </c>
      <c r="F902" t="str" cm="1">
        <f t="array" ref="F902">_xlfn.IFS(E902&lt;=35, "18-35", E902&lt;=50, "36-50", E902&lt;=65, "51-65", TRUE, "Over 65")</f>
        <v>18-35</v>
      </c>
      <c r="G902" t="s">
        <v>16</v>
      </c>
      <c r="H902">
        <v>1</v>
      </c>
      <c r="I902" s="2">
        <v>30</v>
      </c>
      <c r="J902" s="2">
        <v>30</v>
      </c>
    </row>
    <row r="903" spans="1:10" x14ac:dyDescent="0.35">
      <c r="A903">
        <v>902</v>
      </c>
      <c r="B903" s="1">
        <v>45078</v>
      </c>
      <c r="C903" t="s">
        <v>915</v>
      </c>
      <c r="D903" t="s">
        <v>13</v>
      </c>
      <c r="E903">
        <v>54</v>
      </c>
      <c r="F903" t="str" cm="1">
        <f t="array" ref="F903">_xlfn.IFS(E903&lt;=35, "18-35", E903&lt;=50, "36-50", E903&lt;=65, "51-65", TRUE, "Over 65")</f>
        <v>51-65</v>
      </c>
      <c r="G903" t="s">
        <v>11</v>
      </c>
      <c r="H903">
        <v>1</v>
      </c>
      <c r="I903" s="2">
        <v>50</v>
      </c>
      <c r="J903" s="2">
        <v>50</v>
      </c>
    </row>
    <row r="904" spans="1:10" x14ac:dyDescent="0.35">
      <c r="A904">
        <v>903</v>
      </c>
      <c r="B904" s="1">
        <v>45043</v>
      </c>
      <c r="C904" t="s">
        <v>916</v>
      </c>
      <c r="D904" t="s">
        <v>13</v>
      </c>
      <c r="E904">
        <v>51</v>
      </c>
      <c r="F904" t="str" cm="1">
        <f t="array" ref="F904">_xlfn.IFS(E904&lt;=35, "18-35", E904&lt;=50, "36-50", E904&lt;=65, "51-65", TRUE, "Over 65")</f>
        <v>51-65</v>
      </c>
      <c r="G904" t="s">
        <v>11</v>
      </c>
      <c r="H904">
        <v>4</v>
      </c>
      <c r="I904" s="2">
        <v>50</v>
      </c>
      <c r="J904" s="2">
        <v>200</v>
      </c>
    </row>
    <row r="905" spans="1:10" x14ac:dyDescent="0.35">
      <c r="A905">
        <v>904</v>
      </c>
      <c r="B905" s="1">
        <v>45111</v>
      </c>
      <c r="C905" t="s">
        <v>917</v>
      </c>
      <c r="D905" t="s">
        <v>10</v>
      </c>
      <c r="E905">
        <v>28</v>
      </c>
      <c r="F905" t="str" cm="1">
        <f t="array" ref="F905">_xlfn.IFS(E905&lt;=35, "18-35", E905&lt;=50, "36-50", E905&lt;=65, "51-65", TRUE, "Over 65")</f>
        <v>18-35</v>
      </c>
      <c r="G905" t="s">
        <v>14</v>
      </c>
      <c r="H905">
        <v>1</v>
      </c>
      <c r="I905" s="2">
        <v>500</v>
      </c>
      <c r="J905" s="2">
        <v>500</v>
      </c>
    </row>
    <row r="906" spans="1:10" x14ac:dyDescent="0.35">
      <c r="A906">
        <v>905</v>
      </c>
      <c r="B906" s="1">
        <v>45018</v>
      </c>
      <c r="C906" t="s">
        <v>918</v>
      </c>
      <c r="D906" t="s">
        <v>10</v>
      </c>
      <c r="E906">
        <v>58</v>
      </c>
      <c r="F906" t="str" cm="1">
        <f t="array" ref="F906">_xlfn.IFS(E906&lt;=35, "18-35", E906&lt;=50, "36-50", E906&lt;=65, "51-65", TRUE, "Over 65")</f>
        <v>51-65</v>
      </c>
      <c r="G906" t="s">
        <v>11</v>
      </c>
      <c r="H906">
        <v>1</v>
      </c>
      <c r="I906" s="2">
        <v>300</v>
      </c>
      <c r="J906" s="2">
        <v>300</v>
      </c>
    </row>
    <row r="907" spans="1:10" x14ac:dyDescent="0.35">
      <c r="A907">
        <v>906</v>
      </c>
      <c r="B907" s="1">
        <v>45081</v>
      </c>
      <c r="C907" t="s">
        <v>919</v>
      </c>
      <c r="D907" t="s">
        <v>13</v>
      </c>
      <c r="E907">
        <v>20</v>
      </c>
      <c r="F907" t="str" cm="1">
        <f t="array" ref="F907">_xlfn.IFS(E907&lt;=35, "18-35", E907&lt;=50, "36-50", E907&lt;=65, "51-65", TRUE, "Over 65")</f>
        <v>18-35</v>
      </c>
      <c r="G907" t="s">
        <v>14</v>
      </c>
      <c r="H907">
        <v>1</v>
      </c>
      <c r="I907" s="2">
        <v>50</v>
      </c>
      <c r="J907" s="2">
        <v>50</v>
      </c>
    </row>
    <row r="908" spans="1:10" x14ac:dyDescent="0.35">
      <c r="A908">
        <v>907</v>
      </c>
      <c r="B908" s="1">
        <v>44934</v>
      </c>
      <c r="C908" t="s">
        <v>920</v>
      </c>
      <c r="D908" t="s">
        <v>13</v>
      </c>
      <c r="E908">
        <v>45</v>
      </c>
      <c r="F908" t="str" cm="1">
        <f t="array" ref="F908">_xlfn.IFS(E908&lt;=35, "18-35", E908&lt;=50, "36-50", E908&lt;=65, "51-65", TRUE, "Over 65")</f>
        <v>36-50</v>
      </c>
      <c r="G908" t="s">
        <v>16</v>
      </c>
      <c r="H908">
        <v>1</v>
      </c>
      <c r="I908" s="2">
        <v>25</v>
      </c>
      <c r="J908" s="2">
        <v>25</v>
      </c>
    </row>
    <row r="909" spans="1:10" x14ac:dyDescent="0.35">
      <c r="A909">
        <v>908</v>
      </c>
      <c r="B909" s="1">
        <v>45289</v>
      </c>
      <c r="C909" t="s">
        <v>921</v>
      </c>
      <c r="D909" t="s">
        <v>10</v>
      </c>
      <c r="E909">
        <v>46</v>
      </c>
      <c r="F909" t="str" cm="1">
        <f t="array" ref="F909">_xlfn.IFS(E909&lt;=35, "18-35", E909&lt;=50, "36-50", E909&lt;=65, "51-65", TRUE, "Over 65")</f>
        <v>36-50</v>
      </c>
      <c r="G909" t="s">
        <v>11</v>
      </c>
      <c r="H909">
        <v>4</v>
      </c>
      <c r="I909" s="2">
        <v>300</v>
      </c>
      <c r="J909" s="2">
        <v>1200</v>
      </c>
    </row>
    <row r="910" spans="1:10" x14ac:dyDescent="0.35">
      <c r="A910">
        <v>909</v>
      </c>
      <c r="B910" s="1">
        <v>45200</v>
      </c>
      <c r="C910" t="s">
        <v>922</v>
      </c>
      <c r="D910" t="s">
        <v>10</v>
      </c>
      <c r="E910">
        <v>26</v>
      </c>
      <c r="F910" t="str" cm="1">
        <f t="array" ref="F910">_xlfn.IFS(E910&lt;=35, "18-35", E910&lt;=50, "36-50", E910&lt;=65, "51-65", TRUE, "Over 65")</f>
        <v>18-35</v>
      </c>
      <c r="G910" t="s">
        <v>16</v>
      </c>
      <c r="H910">
        <v>1</v>
      </c>
      <c r="I910" s="2">
        <v>300</v>
      </c>
      <c r="J910" s="2">
        <v>300</v>
      </c>
    </row>
    <row r="911" spans="1:10" x14ac:dyDescent="0.35">
      <c r="A911">
        <v>910</v>
      </c>
      <c r="B911" s="1">
        <v>44991</v>
      </c>
      <c r="C911" t="s">
        <v>923</v>
      </c>
      <c r="D911" t="s">
        <v>13</v>
      </c>
      <c r="E911">
        <v>20</v>
      </c>
      <c r="F911" t="str" cm="1">
        <f t="array" ref="F911">_xlfn.IFS(E911&lt;=35, "18-35", E911&lt;=50, "36-50", E911&lt;=65, "51-65", TRUE, "Over 65")</f>
        <v>18-35</v>
      </c>
      <c r="G911" t="s">
        <v>11</v>
      </c>
      <c r="H911">
        <v>3</v>
      </c>
      <c r="I911" s="2">
        <v>50</v>
      </c>
      <c r="J911" s="2">
        <v>150</v>
      </c>
    </row>
    <row r="912" spans="1:10" x14ac:dyDescent="0.35">
      <c r="A912">
        <v>911</v>
      </c>
      <c r="B912" s="1">
        <v>45067</v>
      </c>
      <c r="C912" t="s">
        <v>924</v>
      </c>
      <c r="D912" t="s">
        <v>10</v>
      </c>
      <c r="E912">
        <v>42</v>
      </c>
      <c r="F912" t="str" cm="1">
        <f t="array" ref="F912">_xlfn.IFS(E912&lt;=35, "18-35", E912&lt;=50, "36-50", E912&lt;=65, "51-65", TRUE, "Over 65")</f>
        <v>36-50</v>
      </c>
      <c r="G912" t="s">
        <v>16</v>
      </c>
      <c r="H912">
        <v>3</v>
      </c>
      <c r="I912" s="2">
        <v>300</v>
      </c>
      <c r="J912" s="2">
        <v>900</v>
      </c>
    </row>
    <row r="913" spans="1:10" x14ac:dyDescent="0.35">
      <c r="A913">
        <v>912</v>
      </c>
      <c r="B913" s="1">
        <v>44950</v>
      </c>
      <c r="C913" t="s">
        <v>925</v>
      </c>
      <c r="D913" t="s">
        <v>10</v>
      </c>
      <c r="E913">
        <v>51</v>
      </c>
      <c r="F913" t="str" cm="1">
        <f t="array" ref="F913">_xlfn.IFS(E913&lt;=35, "18-35", E913&lt;=50, "36-50", E913&lt;=65, "51-65", TRUE, "Over 65")</f>
        <v>51-65</v>
      </c>
      <c r="G913" t="s">
        <v>11</v>
      </c>
      <c r="H913">
        <v>3</v>
      </c>
      <c r="I913" s="2">
        <v>50</v>
      </c>
      <c r="J913" s="2">
        <v>150</v>
      </c>
    </row>
    <row r="914" spans="1:10" x14ac:dyDescent="0.35">
      <c r="A914">
        <v>913</v>
      </c>
      <c r="B914" s="1">
        <v>44954</v>
      </c>
      <c r="C914" t="s">
        <v>926</v>
      </c>
      <c r="D914" t="s">
        <v>10</v>
      </c>
      <c r="E914">
        <v>29</v>
      </c>
      <c r="F914" t="str" cm="1">
        <f t="array" ref="F914">_xlfn.IFS(E914&lt;=35, "18-35", E914&lt;=50, "36-50", E914&lt;=65, "51-65", TRUE, "Over 65")</f>
        <v>18-35</v>
      </c>
      <c r="G914" t="s">
        <v>16</v>
      </c>
      <c r="H914">
        <v>3</v>
      </c>
      <c r="I914" s="2">
        <v>30</v>
      </c>
      <c r="J914" s="2">
        <v>90</v>
      </c>
    </row>
    <row r="915" spans="1:10" x14ac:dyDescent="0.35">
      <c r="A915">
        <v>914</v>
      </c>
      <c r="B915" s="1">
        <v>45210</v>
      </c>
      <c r="C915" t="s">
        <v>927</v>
      </c>
      <c r="D915" t="s">
        <v>13</v>
      </c>
      <c r="E915">
        <v>59</v>
      </c>
      <c r="F915" t="str" cm="1">
        <f t="array" ref="F915">_xlfn.IFS(E915&lt;=35, "18-35", E915&lt;=50, "36-50", E915&lt;=65, "51-65", TRUE, "Over 65")</f>
        <v>51-65</v>
      </c>
      <c r="G915" t="s">
        <v>16</v>
      </c>
      <c r="H915">
        <v>1</v>
      </c>
      <c r="I915" s="2">
        <v>500</v>
      </c>
      <c r="J915" s="2">
        <v>500</v>
      </c>
    </row>
    <row r="916" spans="1:10" x14ac:dyDescent="0.35">
      <c r="A916">
        <v>915</v>
      </c>
      <c r="B916" s="1">
        <v>45076</v>
      </c>
      <c r="C916" t="s">
        <v>928</v>
      </c>
      <c r="D916" t="s">
        <v>13</v>
      </c>
      <c r="E916">
        <v>26</v>
      </c>
      <c r="F916" t="str" cm="1">
        <f t="array" ref="F916">_xlfn.IFS(E916&lt;=35, "18-35", E916&lt;=50, "36-50", E916&lt;=65, "51-65", TRUE, "Over 65")</f>
        <v>18-35</v>
      </c>
      <c r="G916" t="s">
        <v>11</v>
      </c>
      <c r="H916">
        <v>3</v>
      </c>
      <c r="I916" s="2">
        <v>30</v>
      </c>
      <c r="J916" s="2">
        <v>90</v>
      </c>
    </row>
    <row r="917" spans="1:10" x14ac:dyDescent="0.35">
      <c r="A917">
        <v>916</v>
      </c>
      <c r="B917" s="1">
        <v>45284</v>
      </c>
      <c r="C917" t="s">
        <v>929</v>
      </c>
      <c r="D917" t="s">
        <v>13</v>
      </c>
      <c r="E917">
        <v>32</v>
      </c>
      <c r="F917" t="str" cm="1">
        <f t="array" ref="F917">_xlfn.IFS(E917&lt;=35, "18-35", E917&lt;=50, "36-50", E917&lt;=65, "51-65", TRUE, "Over 65")</f>
        <v>18-35</v>
      </c>
      <c r="G917" t="s">
        <v>16</v>
      </c>
      <c r="H917">
        <v>1</v>
      </c>
      <c r="I917" s="2">
        <v>50</v>
      </c>
      <c r="J917" s="2">
        <v>50</v>
      </c>
    </row>
    <row r="918" spans="1:10" x14ac:dyDescent="0.35">
      <c r="A918">
        <v>917</v>
      </c>
      <c r="B918" s="1">
        <v>44991</v>
      </c>
      <c r="C918" t="s">
        <v>930</v>
      </c>
      <c r="D918" t="s">
        <v>13</v>
      </c>
      <c r="E918">
        <v>57</v>
      </c>
      <c r="F918" t="str" cm="1">
        <f t="array" ref="F918">_xlfn.IFS(E918&lt;=35, "18-35", E918&lt;=50, "36-50", E918&lt;=65, "51-65", TRUE, "Over 65")</f>
        <v>51-65</v>
      </c>
      <c r="G918" t="s">
        <v>16</v>
      </c>
      <c r="H918">
        <v>4</v>
      </c>
      <c r="I918" s="2">
        <v>50</v>
      </c>
      <c r="J918" s="2">
        <v>200</v>
      </c>
    </row>
    <row r="919" spans="1:10" x14ac:dyDescent="0.35">
      <c r="A919">
        <v>918</v>
      </c>
      <c r="B919" s="1">
        <v>45253</v>
      </c>
      <c r="C919" t="s">
        <v>931</v>
      </c>
      <c r="D919" t="s">
        <v>13</v>
      </c>
      <c r="E919">
        <v>42</v>
      </c>
      <c r="F919" t="str" cm="1">
        <f t="array" ref="F919">_xlfn.IFS(E919&lt;=35, "18-35", E919&lt;=50, "36-50", E919&lt;=65, "51-65", TRUE, "Over 65")</f>
        <v>36-50</v>
      </c>
      <c r="G919" t="s">
        <v>16</v>
      </c>
      <c r="H919">
        <v>3</v>
      </c>
      <c r="I919" s="2">
        <v>30</v>
      </c>
      <c r="J919" s="2">
        <v>90</v>
      </c>
    </row>
    <row r="920" spans="1:10" x14ac:dyDescent="0.35">
      <c r="A920">
        <v>919</v>
      </c>
      <c r="B920" s="1">
        <v>45178</v>
      </c>
      <c r="C920" t="s">
        <v>932</v>
      </c>
      <c r="D920" t="s">
        <v>13</v>
      </c>
      <c r="E920">
        <v>22</v>
      </c>
      <c r="F920" t="str" cm="1">
        <f t="array" ref="F920">_xlfn.IFS(E920&lt;=35, "18-35", E920&lt;=50, "36-50", E920&lt;=65, "51-65", TRUE, "Over 65")</f>
        <v>18-35</v>
      </c>
      <c r="G920" t="s">
        <v>11</v>
      </c>
      <c r="H920">
        <v>2</v>
      </c>
      <c r="I920" s="2">
        <v>25</v>
      </c>
      <c r="J920" s="2">
        <v>50</v>
      </c>
    </row>
    <row r="921" spans="1:10" x14ac:dyDescent="0.35">
      <c r="A921">
        <v>920</v>
      </c>
      <c r="B921" s="1">
        <v>44979</v>
      </c>
      <c r="C921" t="s">
        <v>933</v>
      </c>
      <c r="D921" t="s">
        <v>13</v>
      </c>
      <c r="E921">
        <v>28</v>
      </c>
      <c r="F921" t="str" cm="1">
        <f t="array" ref="F921">_xlfn.IFS(E921&lt;=35, "18-35", E921&lt;=50, "36-50", E921&lt;=65, "51-65", TRUE, "Over 65")</f>
        <v>18-35</v>
      </c>
      <c r="G921" t="s">
        <v>11</v>
      </c>
      <c r="H921">
        <v>3</v>
      </c>
      <c r="I921" s="2">
        <v>25</v>
      </c>
      <c r="J921" s="2">
        <v>75</v>
      </c>
    </row>
    <row r="922" spans="1:10" x14ac:dyDescent="0.35">
      <c r="A922">
        <v>921</v>
      </c>
      <c r="B922" s="1">
        <v>44933</v>
      </c>
      <c r="C922" t="s">
        <v>934</v>
      </c>
      <c r="D922" t="s">
        <v>10</v>
      </c>
      <c r="E922">
        <v>51</v>
      </c>
      <c r="F922" t="str" cm="1">
        <f t="array" ref="F922">_xlfn.IFS(E922&lt;=35, "18-35", E922&lt;=50, "36-50", E922&lt;=65, "51-65", TRUE, "Over 65")</f>
        <v>51-65</v>
      </c>
      <c r="G922" t="s">
        <v>16</v>
      </c>
      <c r="H922">
        <v>3</v>
      </c>
      <c r="I922" s="2">
        <v>25</v>
      </c>
      <c r="J922" s="2">
        <v>75</v>
      </c>
    </row>
    <row r="923" spans="1:10" x14ac:dyDescent="0.35">
      <c r="A923">
        <v>922</v>
      </c>
      <c r="B923" s="1">
        <v>45220</v>
      </c>
      <c r="C923" t="s">
        <v>935</v>
      </c>
      <c r="D923" t="s">
        <v>10</v>
      </c>
      <c r="E923">
        <v>41</v>
      </c>
      <c r="F923" t="str" cm="1">
        <f t="array" ref="F923">_xlfn.IFS(E923&lt;=35, "18-35", E923&lt;=50, "36-50", E923&lt;=65, "51-65", TRUE, "Over 65")</f>
        <v>36-50</v>
      </c>
      <c r="G923" t="s">
        <v>16</v>
      </c>
      <c r="H923">
        <v>1</v>
      </c>
      <c r="I923" s="2">
        <v>50</v>
      </c>
      <c r="J923" s="2">
        <v>50</v>
      </c>
    </row>
    <row r="924" spans="1:10" x14ac:dyDescent="0.35">
      <c r="A924">
        <v>923</v>
      </c>
      <c r="B924" s="1">
        <v>45072</v>
      </c>
      <c r="C924" t="s">
        <v>936</v>
      </c>
      <c r="D924" t="s">
        <v>10</v>
      </c>
      <c r="E924">
        <v>32</v>
      </c>
      <c r="F924" t="str" cm="1">
        <f t="array" ref="F924">_xlfn.IFS(E924&lt;=35, "18-35", E924&lt;=50, "36-50", E924&lt;=65, "51-65", TRUE, "Over 65")</f>
        <v>18-35</v>
      </c>
      <c r="G924" t="s">
        <v>11</v>
      </c>
      <c r="H924">
        <v>3</v>
      </c>
      <c r="I924" s="2">
        <v>300</v>
      </c>
      <c r="J924" s="2">
        <v>900</v>
      </c>
    </row>
    <row r="925" spans="1:10" x14ac:dyDescent="0.35">
      <c r="A925">
        <v>924</v>
      </c>
      <c r="B925" s="1">
        <v>45167</v>
      </c>
      <c r="C925" t="s">
        <v>937</v>
      </c>
      <c r="D925" t="s">
        <v>10</v>
      </c>
      <c r="E925">
        <v>55</v>
      </c>
      <c r="F925" t="str" cm="1">
        <f t="array" ref="F925">_xlfn.IFS(E925&lt;=35, "18-35", E925&lt;=50, "36-50", E925&lt;=65, "51-65", TRUE, "Over 65")</f>
        <v>51-65</v>
      </c>
      <c r="G925" t="s">
        <v>11</v>
      </c>
      <c r="H925">
        <v>2</v>
      </c>
      <c r="I925" s="2">
        <v>50</v>
      </c>
      <c r="J925" s="2">
        <v>100</v>
      </c>
    </row>
    <row r="926" spans="1:10" x14ac:dyDescent="0.35">
      <c r="A926">
        <v>925</v>
      </c>
      <c r="B926" s="1">
        <v>45172</v>
      </c>
      <c r="C926" t="s">
        <v>938</v>
      </c>
      <c r="D926" t="s">
        <v>10</v>
      </c>
      <c r="E926">
        <v>25</v>
      </c>
      <c r="F926" t="str" cm="1">
        <f t="array" ref="F926">_xlfn.IFS(E926&lt;=35, "18-35", E926&lt;=50, "36-50", E926&lt;=65, "51-65", TRUE, "Over 65")</f>
        <v>18-35</v>
      </c>
      <c r="G926" t="s">
        <v>16</v>
      </c>
      <c r="H926">
        <v>1</v>
      </c>
      <c r="I926" s="2">
        <v>300</v>
      </c>
      <c r="J926" s="2">
        <v>300</v>
      </c>
    </row>
    <row r="927" spans="1:10" x14ac:dyDescent="0.35">
      <c r="A927">
        <v>926</v>
      </c>
      <c r="B927" s="1">
        <v>45152</v>
      </c>
      <c r="C927" t="s">
        <v>939</v>
      </c>
      <c r="D927" t="s">
        <v>10</v>
      </c>
      <c r="E927">
        <v>22</v>
      </c>
      <c r="F927" t="str" cm="1">
        <f t="array" ref="F927">_xlfn.IFS(E927&lt;=35, "18-35", E927&lt;=50, "36-50", E927&lt;=65, "51-65", TRUE, "Over 65")</f>
        <v>18-35</v>
      </c>
      <c r="G927" t="s">
        <v>16</v>
      </c>
      <c r="H927">
        <v>1</v>
      </c>
      <c r="I927" s="2">
        <v>30</v>
      </c>
      <c r="J927" s="2">
        <v>30</v>
      </c>
    </row>
    <row r="928" spans="1:10" x14ac:dyDescent="0.35">
      <c r="A928">
        <v>927</v>
      </c>
      <c r="B928" s="1">
        <v>45101</v>
      </c>
      <c r="C928" t="s">
        <v>940</v>
      </c>
      <c r="D928" t="s">
        <v>10</v>
      </c>
      <c r="E928">
        <v>43</v>
      </c>
      <c r="F928" t="str" cm="1">
        <f t="array" ref="F928">_xlfn.IFS(E928&lt;=35, "18-35", E928&lt;=50, "36-50", E928&lt;=65, "51-65", TRUE, "Over 65")</f>
        <v>36-50</v>
      </c>
      <c r="G928" t="s">
        <v>16</v>
      </c>
      <c r="H928">
        <v>4</v>
      </c>
      <c r="I928" s="2">
        <v>500</v>
      </c>
      <c r="J928" s="2">
        <v>2000</v>
      </c>
    </row>
    <row r="929" spans="1:10" x14ac:dyDescent="0.35">
      <c r="A929">
        <v>928</v>
      </c>
      <c r="B929" s="1">
        <v>45021</v>
      </c>
      <c r="C929" t="s">
        <v>941</v>
      </c>
      <c r="D929" t="s">
        <v>13</v>
      </c>
      <c r="E929">
        <v>35</v>
      </c>
      <c r="F929" t="str" cm="1">
        <f t="array" ref="F929">_xlfn.IFS(E929&lt;=35, "18-35", E929&lt;=50, "36-50", E929&lt;=65, "51-65", TRUE, "Over 65")</f>
        <v>18-35</v>
      </c>
      <c r="G929" t="s">
        <v>14</v>
      </c>
      <c r="H929">
        <v>4</v>
      </c>
      <c r="I929" s="2">
        <v>300</v>
      </c>
      <c r="J929" s="2">
        <v>1200</v>
      </c>
    </row>
    <row r="930" spans="1:10" x14ac:dyDescent="0.35">
      <c r="A930">
        <v>929</v>
      </c>
      <c r="B930" s="1">
        <v>44953</v>
      </c>
      <c r="C930" t="s">
        <v>942</v>
      </c>
      <c r="D930" t="s">
        <v>13</v>
      </c>
      <c r="E930">
        <v>23</v>
      </c>
      <c r="F930" t="str" cm="1">
        <f t="array" ref="F930">_xlfn.IFS(E930&lt;=35, "18-35", E930&lt;=50, "36-50", E930&lt;=65, "51-65", TRUE, "Over 65")</f>
        <v>18-35</v>
      </c>
      <c r="G930" t="s">
        <v>11</v>
      </c>
      <c r="H930">
        <v>3</v>
      </c>
      <c r="I930" s="2">
        <v>25</v>
      </c>
      <c r="J930" s="2">
        <v>75</v>
      </c>
    </row>
    <row r="931" spans="1:10" x14ac:dyDescent="0.35">
      <c r="A931">
        <v>930</v>
      </c>
      <c r="B931" s="1">
        <v>45056</v>
      </c>
      <c r="C931" t="s">
        <v>943</v>
      </c>
      <c r="D931" t="s">
        <v>10</v>
      </c>
      <c r="E931">
        <v>54</v>
      </c>
      <c r="F931" t="str" cm="1">
        <f t="array" ref="F931">_xlfn.IFS(E931&lt;=35, "18-35", E931&lt;=50, "36-50", E931&lt;=65, "51-65", TRUE, "Over 65")</f>
        <v>51-65</v>
      </c>
      <c r="G931" t="s">
        <v>14</v>
      </c>
      <c r="H931">
        <v>4</v>
      </c>
      <c r="I931" s="2">
        <v>50</v>
      </c>
      <c r="J931" s="2">
        <v>200</v>
      </c>
    </row>
    <row r="932" spans="1:10" x14ac:dyDescent="0.35">
      <c r="A932">
        <v>931</v>
      </c>
      <c r="B932" s="1">
        <v>45171</v>
      </c>
      <c r="C932" t="s">
        <v>944</v>
      </c>
      <c r="D932" t="s">
        <v>10</v>
      </c>
      <c r="E932">
        <v>30</v>
      </c>
      <c r="F932" t="str" cm="1">
        <f t="array" ref="F932">_xlfn.IFS(E932&lt;=35, "18-35", E932&lt;=50, "36-50", E932&lt;=65, "51-65", TRUE, "Over 65")</f>
        <v>18-35</v>
      </c>
      <c r="G932" t="s">
        <v>11</v>
      </c>
      <c r="H932">
        <v>4</v>
      </c>
      <c r="I932" s="2">
        <v>30</v>
      </c>
      <c r="J932" s="2">
        <v>120</v>
      </c>
    </row>
    <row r="933" spans="1:10" x14ac:dyDescent="0.35">
      <c r="A933">
        <v>932</v>
      </c>
      <c r="B933" s="1">
        <v>44985</v>
      </c>
      <c r="C933" t="s">
        <v>945</v>
      </c>
      <c r="D933" t="s">
        <v>13</v>
      </c>
      <c r="E933">
        <v>45</v>
      </c>
      <c r="F933" t="str" cm="1">
        <f t="array" ref="F933">_xlfn.IFS(E933&lt;=35, "18-35", E933&lt;=50, "36-50", E933&lt;=65, "51-65", TRUE, "Over 65")</f>
        <v>36-50</v>
      </c>
      <c r="G933" t="s">
        <v>11</v>
      </c>
      <c r="H933">
        <v>4</v>
      </c>
      <c r="I933" s="2">
        <v>25</v>
      </c>
      <c r="J933" s="2">
        <v>100</v>
      </c>
    </row>
    <row r="934" spans="1:10" x14ac:dyDescent="0.35">
      <c r="A934">
        <v>933</v>
      </c>
      <c r="B934" s="1">
        <v>44960</v>
      </c>
      <c r="C934" t="s">
        <v>946</v>
      </c>
      <c r="D934" t="s">
        <v>10</v>
      </c>
      <c r="E934">
        <v>22</v>
      </c>
      <c r="F934" t="str" cm="1">
        <f t="array" ref="F934">_xlfn.IFS(E934&lt;=35, "18-35", E934&lt;=50, "36-50", E934&lt;=65, "51-65", TRUE, "Over 65")</f>
        <v>18-35</v>
      </c>
      <c r="G934" t="s">
        <v>11</v>
      </c>
      <c r="H934">
        <v>1</v>
      </c>
      <c r="I934" s="2">
        <v>30</v>
      </c>
      <c r="J934" s="2">
        <v>30</v>
      </c>
    </row>
    <row r="935" spans="1:10" x14ac:dyDescent="0.35">
      <c r="A935">
        <v>934</v>
      </c>
      <c r="B935" s="1">
        <v>45132</v>
      </c>
      <c r="C935" t="s">
        <v>947</v>
      </c>
      <c r="D935" t="s">
        <v>10</v>
      </c>
      <c r="E935">
        <v>30</v>
      </c>
      <c r="F935" t="str" cm="1">
        <f t="array" ref="F935">_xlfn.IFS(E935&lt;=35, "18-35", E935&lt;=50, "36-50", E935&lt;=65, "51-65", TRUE, "Over 65")</f>
        <v>18-35</v>
      </c>
      <c r="G935" t="s">
        <v>11</v>
      </c>
      <c r="H935">
        <v>1</v>
      </c>
      <c r="I935" s="2">
        <v>500</v>
      </c>
      <c r="J935" s="2">
        <v>500</v>
      </c>
    </row>
    <row r="936" spans="1:10" x14ac:dyDescent="0.35">
      <c r="A936">
        <v>935</v>
      </c>
      <c r="B936" s="1">
        <v>45178</v>
      </c>
      <c r="C936" t="s">
        <v>948</v>
      </c>
      <c r="D936" t="s">
        <v>13</v>
      </c>
      <c r="E936">
        <v>34</v>
      </c>
      <c r="F936" t="str" cm="1">
        <f t="array" ref="F936">_xlfn.IFS(E936&lt;=35, "18-35", E936&lt;=50, "36-50", E936&lt;=65, "51-65", TRUE, "Over 65")</f>
        <v>18-35</v>
      </c>
      <c r="G936" t="s">
        <v>11</v>
      </c>
      <c r="H936">
        <v>1</v>
      </c>
      <c r="I936" s="2">
        <v>50</v>
      </c>
      <c r="J936" s="2">
        <v>50</v>
      </c>
    </row>
    <row r="937" spans="1:10" x14ac:dyDescent="0.35">
      <c r="A937">
        <v>936</v>
      </c>
      <c r="B937" s="1">
        <v>44964</v>
      </c>
      <c r="C937" t="s">
        <v>949</v>
      </c>
      <c r="D937" t="s">
        <v>10</v>
      </c>
      <c r="E937">
        <v>57</v>
      </c>
      <c r="F937" t="str" cm="1">
        <f t="array" ref="F937">_xlfn.IFS(E937&lt;=35, "18-35", E937&lt;=50, "36-50", E937&lt;=65, "51-65", TRUE, "Over 65")</f>
        <v>51-65</v>
      </c>
      <c r="G937" t="s">
        <v>11</v>
      </c>
      <c r="H937">
        <v>4</v>
      </c>
      <c r="I937" s="2">
        <v>50</v>
      </c>
      <c r="J937" s="2">
        <v>200</v>
      </c>
    </row>
    <row r="938" spans="1:10" x14ac:dyDescent="0.35">
      <c r="A938">
        <v>937</v>
      </c>
      <c r="B938" s="1">
        <v>45222</v>
      </c>
      <c r="C938" t="s">
        <v>950</v>
      </c>
      <c r="D938" t="s">
        <v>13</v>
      </c>
      <c r="E938">
        <v>62</v>
      </c>
      <c r="F938" t="str" cm="1">
        <f t="array" ref="F938">_xlfn.IFS(E938&lt;=35, "18-35", E938&lt;=50, "36-50", E938&lt;=65, "51-65", TRUE, "Over 65")</f>
        <v>51-65</v>
      </c>
      <c r="G938" t="s">
        <v>11</v>
      </c>
      <c r="H938">
        <v>1</v>
      </c>
      <c r="I938" s="2">
        <v>500</v>
      </c>
      <c r="J938" s="2">
        <v>500</v>
      </c>
    </row>
    <row r="939" spans="1:10" x14ac:dyDescent="0.35">
      <c r="A939">
        <v>938</v>
      </c>
      <c r="B939" s="1">
        <v>45249</v>
      </c>
      <c r="C939" t="s">
        <v>951</v>
      </c>
      <c r="D939" t="s">
        <v>10</v>
      </c>
      <c r="E939">
        <v>49</v>
      </c>
      <c r="F939" t="str" cm="1">
        <f t="array" ref="F939">_xlfn.IFS(E939&lt;=35, "18-35", E939&lt;=50, "36-50", E939&lt;=65, "51-65", TRUE, "Over 65")</f>
        <v>36-50</v>
      </c>
      <c r="G939" t="s">
        <v>14</v>
      </c>
      <c r="H939">
        <v>4</v>
      </c>
      <c r="I939" s="2">
        <v>50</v>
      </c>
      <c r="J939" s="2">
        <v>200</v>
      </c>
    </row>
    <row r="940" spans="1:10" x14ac:dyDescent="0.35">
      <c r="A940">
        <v>939</v>
      </c>
      <c r="B940" s="1">
        <v>45278</v>
      </c>
      <c r="C940" t="s">
        <v>952</v>
      </c>
      <c r="D940" t="s">
        <v>13</v>
      </c>
      <c r="E940">
        <v>46</v>
      </c>
      <c r="F940" t="str" cm="1">
        <f t="array" ref="F940">_xlfn.IFS(E940&lt;=35, "18-35", E940&lt;=50, "36-50", E940&lt;=65, "51-65", TRUE, "Over 65")</f>
        <v>36-50</v>
      </c>
      <c r="G940" t="s">
        <v>16</v>
      </c>
      <c r="H940">
        <v>1</v>
      </c>
      <c r="I940" s="2">
        <v>300</v>
      </c>
      <c r="J940" s="2">
        <v>300</v>
      </c>
    </row>
    <row r="941" spans="1:10" x14ac:dyDescent="0.35">
      <c r="A941">
        <v>940</v>
      </c>
      <c r="B941" s="1">
        <v>44954</v>
      </c>
      <c r="C941" t="s">
        <v>953</v>
      </c>
      <c r="D941" t="s">
        <v>13</v>
      </c>
      <c r="E941">
        <v>20</v>
      </c>
      <c r="F941" t="str" cm="1">
        <f t="array" ref="F941">_xlfn.IFS(E941&lt;=35, "18-35", E941&lt;=50, "36-50", E941&lt;=65, "51-65", TRUE, "Over 65")</f>
        <v>18-35</v>
      </c>
      <c r="G941" t="s">
        <v>16</v>
      </c>
      <c r="H941">
        <v>1</v>
      </c>
      <c r="I941" s="2">
        <v>30</v>
      </c>
      <c r="J941" s="2">
        <v>30</v>
      </c>
    </row>
    <row r="942" spans="1:10" x14ac:dyDescent="0.35">
      <c r="A942">
        <v>941</v>
      </c>
      <c r="B942" s="1">
        <v>45004</v>
      </c>
      <c r="C942" t="s">
        <v>954</v>
      </c>
      <c r="D942" t="s">
        <v>13</v>
      </c>
      <c r="E942">
        <v>57</v>
      </c>
      <c r="F942" t="str" cm="1">
        <f t="array" ref="F942">_xlfn.IFS(E942&lt;=35, "18-35", E942&lt;=50, "36-50", E942&lt;=65, "51-65", TRUE, "Over 65")</f>
        <v>51-65</v>
      </c>
      <c r="G942" t="s">
        <v>14</v>
      </c>
      <c r="H942">
        <v>2</v>
      </c>
      <c r="I942" s="2">
        <v>25</v>
      </c>
      <c r="J942" s="2">
        <v>50</v>
      </c>
    </row>
    <row r="943" spans="1:10" x14ac:dyDescent="0.35">
      <c r="A943">
        <v>942</v>
      </c>
      <c r="B943" s="1">
        <v>45003</v>
      </c>
      <c r="C943" t="s">
        <v>955</v>
      </c>
      <c r="D943" t="s">
        <v>10</v>
      </c>
      <c r="E943">
        <v>51</v>
      </c>
      <c r="F943" t="str" cm="1">
        <f t="array" ref="F943">_xlfn.IFS(E943&lt;=35, "18-35", E943&lt;=50, "36-50", E943&lt;=65, "51-65", TRUE, "Over 65")</f>
        <v>51-65</v>
      </c>
      <c r="G943" t="s">
        <v>14</v>
      </c>
      <c r="H943">
        <v>3</v>
      </c>
      <c r="I943" s="2">
        <v>500</v>
      </c>
      <c r="J943" s="2">
        <v>1500</v>
      </c>
    </row>
    <row r="944" spans="1:10" x14ac:dyDescent="0.35">
      <c r="A944">
        <v>943</v>
      </c>
      <c r="B944" s="1">
        <v>45215</v>
      </c>
      <c r="C944" t="s">
        <v>956</v>
      </c>
      <c r="D944" t="s">
        <v>13</v>
      </c>
      <c r="E944">
        <v>57</v>
      </c>
      <c r="F944" t="str" cm="1">
        <f t="array" ref="F944">_xlfn.IFS(E944&lt;=35, "18-35", E944&lt;=50, "36-50", E944&lt;=65, "51-65", TRUE, "Over 65")</f>
        <v>51-65</v>
      </c>
      <c r="G944" t="s">
        <v>14</v>
      </c>
      <c r="H944">
        <v>4</v>
      </c>
      <c r="I944" s="2">
        <v>300</v>
      </c>
      <c r="J944" s="2">
        <v>1200</v>
      </c>
    </row>
    <row r="945" spans="1:10" x14ac:dyDescent="0.35">
      <c r="A945">
        <v>944</v>
      </c>
      <c r="B945" s="1">
        <v>45082</v>
      </c>
      <c r="C945" t="s">
        <v>957</v>
      </c>
      <c r="D945" t="s">
        <v>10</v>
      </c>
      <c r="E945">
        <v>44</v>
      </c>
      <c r="F945" t="str" cm="1">
        <f t="array" ref="F945">_xlfn.IFS(E945&lt;=35, "18-35", E945&lt;=50, "36-50", E945&lt;=65, "51-65", TRUE, "Over 65")</f>
        <v>36-50</v>
      </c>
      <c r="G945" t="s">
        <v>14</v>
      </c>
      <c r="H945">
        <v>2</v>
      </c>
      <c r="I945" s="2">
        <v>25</v>
      </c>
      <c r="J945" s="2">
        <v>50</v>
      </c>
    </row>
    <row r="946" spans="1:10" x14ac:dyDescent="0.35">
      <c r="A946">
        <v>945</v>
      </c>
      <c r="B946" s="1">
        <v>44970</v>
      </c>
      <c r="C946" t="s">
        <v>958</v>
      </c>
      <c r="D946" t="s">
        <v>10</v>
      </c>
      <c r="E946">
        <v>30</v>
      </c>
      <c r="F946" t="str" cm="1">
        <f t="array" ref="F946">_xlfn.IFS(E946&lt;=35, "18-35", E946&lt;=50, "36-50", E946&lt;=65, "51-65", TRUE, "Over 65")</f>
        <v>18-35</v>
      </c>
      <c r="G946" t="s">
        <v>11</v>
      </c>
      <c r="H946">
        <v>1</v>
      </c>
      <c r="I946" s="2">
        <v>25</v>
      </c>
      <c r="J946" s="2">
        <v>25</v>
      </c>
    </row>
    <row r="947" spans="1:10" x14ac:dyDescent="0.35">
      <c r="A947">
        <v>946</v>
      </c>
      <c r="B947" s="1">
        <v>45054</v>
      </c>
      <c r="C947" t="s">
        <v>959</v>
      </c>
      <c r="D947" t="s">
        <v>10</v>
      </c>
      <c r="E947">
        <v>62</v>
      </c>
      <c r="F947" t="str" cm="1">
        <f t="array" ref="F947">_xlfn.IFS(E947&lt;=35, "18-35", E947&lt;=50, "36-50", E947&lt;=65, "51-65", TRUE, "Over 65")</f>
        <v>51-65</v>
      </c>
      <c r="G947" t="s">
        <v>16</v>
      </c>
      <c r="H947">
        <v>4</v>
      </c>
      <c r="I947" s="2">
        <v>500</v>
      </c>
      <c r="J947" s="2">
        <v>2000</v>
      </c>
    </row>
    <row r="948" spans="1:10" x14ac:dyDescent="0.35">
      <c r="A948">
        <v>947</v>
      </c>
      <c r="B948" s="1">
        <v>44987</v>
      </c>
      <c r="C948" t="s">
        <v>960</v>
      </c>
      <c r="D948" t="s">
        <v>10</v>
      </c>
      <c r="E948">
        <v>50</v>
      </c>
      <c r="F948" t="str" cm="1">
        <f t="array" ref="F948">_xlfn.IFS(E948&lt;=35, "18-35", E948&lt;=50, "36-50", E948&lt;=65, "51-65", TRUE, "Over 65")</f>
        <v>36-50</v>
      </c>
      <c r="G948" t="s">
        <v>11</v>
      </c>
      <c r="H948">
        <v>1</v>
      </c>
      <c r="I948" s="2">
        <v>300</v>
      </c>
      <c r="J948" s="2">
        <v>300</v>
      </c>
    </row>
    <row r="949" spans="1:10" x14ac:dyDescent="0.35">
      <c r="A949">
        <v>948</v>
      </c>
      <c r="B949" s="1">
        <v>45212</v>
      </c>
      <c r="C949" t="s">
        <v>961</v>
      </c>
      <c r="D949" t="s">
        <v>13</v>
      </c>
      <c r="E949">
        <v>23</v>
      </c>
      <c r="F949" t="str" cm="1">
        <f t="array" ref="F949">_xlfn.IFS(E949&lt;=35, "18-35", E949&lt;=50, "36-50", E949&lt;=65, "51-65", TRUE, "Over 65")</f>
        <v>18-35</v>
      </c>
      <c r="G949" t="s">
        <v>16</v>
      </c>
      <c r="H949">
        <v>3</v>
      </c>
      <c r="I949" s="2">
        <v>25</v>
      </c>
      <c r="J949" s="2">
        <v>75</v>
      </c>
    </row>
    <row r="950" spans="1:10" x14ac:dyDescent="0.35">
      <c r="A950">
        <v>949</v>
      </c>
      <c r="B950" s="1">
        <v>45140</v>
      </c>
      <c r="C950" t="s">
        <v>962</v>
      </c>
      <c r="D950" t="s">
        <v>13</v>
      </c>
      <c r="E950">
        <v>41</v>
      </c>
      <c r="F950" t="str" cm="1">
        <f t="array" ref="F950">_xlfn.IFS(E950&lt;=35, "18-35", E950&lt;=50, "36-50", E950&lt;=65, "51-65", TRUE, "Over 65")</f>
        <v>36-50</v>
      </c>
      <c r="G950" t="s">
        <v>16</v>
      </c>
      <c r="H950">
        <v>2</v>
      </c>
      <c r="I950" s="2">
        <v>25</v>
      </c>
      <c r="J950" s="2">
        <v>50</v>
      </c>
    </row>
    <row r="951" spans="1:10" x14ac:dyDescent="0.35">
      <c r="A951">
        <v>950</v>
      </c>
      <c r="B951" s="1">
        <v>45237</v>
      </c>
      <c r="C951" t="s">
        <v>963</v>
      </c>
      <c r="D951" t="s">
        <v>10</v>
      </c>
      <c r="E951">
        <v>36</v>
      </c>
      <c r="F951" t="str" cm="1">
        <f t="array" ref="F951">_xlfn.IFS(E951&lt;=35, "18-35", E951&lt;=50, "36-50", E951&lt;=65, "51-65", TRUE, "Over 65")</f>
        <v>36-50</v>
      </c>
      <c r="G951" t="s">
        <v>14</v>
      </c>
      <c r="H951">
        <v>3</v>
      </c>
      <c r="I951" s="2">
        <v>300</v>
      </c>
      <c r="J951" s="2">
        <v>900</v>
      </c>
    </row>
    <row r="952" spans="1:10" x14ac:dyDescent="0.35">
      <c r="A952">
        <v>951</v>
      </c>
      <c r="B952" s="1">
        <v>45232</v>
      </c>
      <c r="C952" t="s">
        <v>964</v>
      </c>
      <c r="D952" t="s">
        <v>10</v>
      </c>
      <c r="E952">
        <v>33</v>
      </c>
      <c r="F952" t="str" cm="1">
        <f t="array" ref="F952">_xlfn.IFS(E952&lt;=35, "18-35", E952&lt;=50, "36-50", E952&lt;=65, "51-65", TRUE, "Over 65")</f>
        <v>18-35</v>
      </c>
      <c r="G952" t="s">
        <v>11</v>
      </c>
      <c r="H952">
        <v>2</v>
      </c>
      <c r="I952" s="2">
        <v>50</v>
      </c>
      <c r="J952" s="2">
        <v>100</v>
      </c>
    </row>
    <row r="953" spans="1:10" x14ac:dyDescent="0.35">
      <c r="A953">
        <v>952</v>
      </c>
      <c r="B953" s="1">
        <v>45243</v>
      </c>
      <c r="C953" t="s">
        <v>965</v>
      </c>
      <c r="D953" t="s">
        <v>13</v>
      </c>
      <c r="E953">
        <v>57</v>
      </c>
      <c r="F953" t="str" cm="1">
        <f t="array" ref="F953">_xlfn.IFS(E953&lt;=35, "18-35", E953&lt;=50, "36-50", E953&lt;=65, "51-65", TRUE, "Over 65")</f>
        <v>51-65</v>
      </c>
      <c r="G953" t="s">
        <v>14</v>
      </c>
      <c r="H953">
        <v>1</v>
      </c>
      <c r="I953" s="2">
        <v>25</v>
      </c>
      <c r="J953" s="2">
        <v>25</v>
      </c>
    </row>
    <row r="954" spans="1:10" x14ac:dyDescent="0.35">
      <c r="A954">
        <v>953</v>
      </c>
      <c r="B954" s="1">
        <v>45042</v>
      </c>
      <c r="C954" t="s">
        <v>966</v>
      </c>
      <c r="D954" t="s">
        <v>10</v>
      </c>
      <c r="E954">
        <v>45</v>
      </c>
      <c r="F954" t="str" cm="1">
        <f t="array" ref="F954">_xlfn.IFS(E954&lt;=35, "18-35", E954&lt;=50, "36-50", E954&lt;=65, "51-65", TRUE, "Over 65")</f>
        <v>36-50</v>
      </c>
      <c r="G954" t="s">
        <v>11</v>
      </c>
      <c r="H954">
        <v>3</v>
      </c>
      <c r="I954" s="2">
        <v>30</v>
      </c>
      <c r="J954" s="2">
        <v>90</v>
      </c>
    </row>
    <row r="955" spans="1:10" x14ac:dyDescent="0.35">
      <c r="A955">
        <v>954</v>
      </c>
      <c r="B955" s="1">
        <v>45194</v>
      </c>
      <c r="C955" t="s">
        <v>967</v>
      </c>
      <c r="D955" t="s">
        <v>13</v>
      </c>
      <c r="E955">
        <v>50</v>
      </c>
      <c r="F955" t="str" cm="1">
        <f t="array" ref="F955">_xlfn.IFS(E955&lt;=35, "18-35", E955&lt;=50, "36-50", E955&lt;=65, "51-65", TRUE, "Over 65")</f>
        <v>36-50</v>
      </c>
      <c r="G955" t="s">
        <v>16</v>
      </c>
      <c r="H955">
        <v>3</v>
      </c>
      <c r="I955" s="2">
        <v>300</v>
      </c>
      <c r="J955" s="2">
        <v>900</v>
      </c>
    </row>
    <row r="956" spans="1:10" x14ac:dyDescent="0.35">
      <c r="A956">
        <v>955</v>
      </c>
      <c r="B956" s="1">
        <v>45121</v>
      </c>
      <c r="C956" t="s">
        <v>968</v>
      </c>
      <c r="D956" t="s">
        <v>10</v>
      </c>
      <c r="E956">
        <v>58</v>
      </c>
      <c r="F956" t="str" cm="1">
        <f t="array" ref="F956">_xlfn.IFS(E956&lt;=35, "18-35", E956&lt;=50, "36-50", E956&lt;=65, "51-65", TRUE, "Over 65")</f>
        <v>51-65</v>
      </c>
      <c r="G956" t="s">
        <v>14</v>
      </c>
      <c r="H956">
        <v>1</v>
      </c>
      <c r="I956" s="2">
        <v>25</v>
      </c>
      <c r="J956" s="2">
        <v>25</v>
      </c>
    </row>
    <row r="957" spans="1:10" x14ac:dyDescent="0.35">
      <c r="A957">
        <v>956</v>
      </c>
      <c r="B957" s="1">
        <v>45157</v>
      </c>
      <c r="C957" t="s">
        <v>969</v>
      </c>
      <c r="D957" t="s">
        <v>10</v>
      </c>
      <c r="E957">
        <v>30</v>
      </c>
      <c r="F957" t="str" cm="1">
        <f t="array" ref="F957">_xlfn.IFS(E957&lt;=35, "18-35", E957&lt;=50, "36-50", E957&lt;=65, "51-65", TRUE, "Over 65")</f>
        <v>18-35</v>
      </c>
      <c r="G957" t="s">
        <v>14</v>
      </c>
      <c r="H957">
        <v>3</v>
      </c>
      <c r="I957" s="2">
        <v>500</v>
      </c>
      <c r="J957" s="2">
        <v>1500</v>
      </c>
    </row>
    <row r="958" spans="1:10" x14ac:dyDescent="0.35">
      <c r="A958">
        <v>957</v>
      </c>
      <c r="B958" s="1">
        <v>45153</v>
      </c>
      <c r="C958" t="s">
        <v>970</v>
      </c>
      <c r="D958" t="s">
        <v>13</v>
      </c>
      <c r="E958">
        <v>60</v>
      </c>
      <c r="F958" t="str" cm="1">
        <f t="array" ref="F958">_xlfn.IFS(E958&lt;=35, "18-35", E958&lt;=50, "36-50", E958&lt;=65, "51-65", TRUE, "Over 65")</f>
        <v>51-65</v>
      </c>
      <c r="G958" t="s">
        <v>16</v>
      </c>
      <c r="H958">
        <v>4</v>
      </c>
      <c r="I958" s="2">
        <v>30</v>
      </c>
      <c r="J958" s="2">
        <v>120</v>
      </c>
    </row>
    <row r="959" spans="1:10" x14ac:dyDescent="0.35">
      <c r="A959">
        <v>958</v>
      </c>
      <c r="B959" s="1">
        <v>45079</v>
      </c>
      <c r="C959" t="s">
        <v>971</v>
      </c>
      <c r="D959" t="s">
        <v>10</v>
      </c>
      <c r="E959">
        <v>62</v>
      </c>
      <c r="F959" t="str" cm="1">
        <f t="array" ref="F959">_xlfn.IFS(E959&lt;=35, "18-35", E959&lt;=50, "36-50", E959&lt;=65, "51-65", TRUE, "Over 65")</f>
        <v>51-65</v>
      </c>
      <c r="G959" t="s">
        <v>16</v>
      </c>
      <c r="H959">
        <v>2</v>
      </c>
      <c r="I959" s="2">
        <v>25</v>
      </c>
      <c r="J959" s="2">
        <v>50</v>
      </c>
    </row>
    <row r="960" spans="1:10" x14ac:dyDescent="0.35">
      <c r="A960">
        <v>959</v>
      </c>
      <c r="B960" s="1">
        <v>45228</v>
      </c>
      <c r="C960" t="s">
        <v>972</v>
      </c>
      <c r="D960" t="s">
        <v>13</v>
      </c>
      <c r="E960">
        <v>42</v>
      </c>
      <c r="F960" t="str" cm="1">
        <f t="array" ref="F960">_xlfn.IFS(E960&lt;=35, "18-35", E960&lt;=50, "36-50", E960&lt;=65, "51-65", TRUE, "Over 65")</f>
        <v>36-50</v>
      </c>
      <c r="G960" t="s">
        <v>16</v>
      </c>
      <c r="H960">
        <v>2</v>
      </c>
      <c r="I960" s="2">
        <v>30</v>
      </c>
      <c r="J960" s="2">
        <v>60</v>
      </c>
    </row>
    <row r="961" spans="1:10" x14ac:dyDescent="0.35">
      <c r="A961">
        <v>960</v>
      </c>
      <c r="B961" s="1">
        <v>45146</v>
      </c>
      <c r="C961" t="s">
        <v>973</v>
      </c>
      <c r="D961" t="s">
        <v>10</v>
      </c>
      <c r="E961">
        <v>59</v>
      </c>
      <c r="F961" t="str" cm="1">
        <f t="array" ref="F961">_xlfn.IFS(E961&lt;=35, "18-35", E961&lt;=50, "36-50", E961&lt;=65, "51-65", TRUE, "Over 65")</f>
        <v>51-65</v>
      </c>
      <c r="G961" t="s">
        <v>14</v>
      </c>
      <c r="H961">
        <v>2</v>
      </c>
      <c r="I961" s="2">
        <v>30</v>
      </c>
      <c r="J961" s="2">
        <v>60</v>
      </c>
    </row>
    <row r="962" spans="1:10" x14ac:dyDescent="0.35">
      <c r="A962">
        <v>961</v>
      </c>
      <c r="B962" s="1">
        <v>45083</v>
      </c>
      <c r="C962" t="s">
        <v>974</v>
      </c>
      <c r="D962" t="s">
        <v>10</v>
      </c>
      <c r="E962">
        <v>53</v>
      </c>
      <c r="F962" t="str" cm="1">
        <f t="array" ref="F962">_xlfn.IFS(E962&lt;=35, "18-35", E962&lt;=50, "36-50", E962&lt;=65, "51-65", TRUE, "Over 65")</f>
        <v>51-65</v>
      </c>
      <c r="G962" t="s">
        <v>11</v>
      </c>
      <c r="H962">
        <v>4</v>
      </c>
      <c r="I962" s="2">
        <v>50</v>
      </c>
      <c r="J962" s="2">
        <v>200</v>
      </c>
    </row>
    <row r="963" spans="1:10" x14ac:dyDescent="0.35">
      <c r="A963">
        <v>962</v>
      </c>
      <c r="B963" s="1">
        <v>45218</v>
      </c>
      <c r="C963" t="s">
        <v>975</v>
      </c>
      <c r="D963" t="s">
        <v>10</v>
      </c>
      <c r="E963">
        <v>44</v>
      </c>
      <c r="F963" t="str" cm="1">
        <f t="array" ref="F963">_xlfn.IFS(E963&lt;=35, "18-35", E963&lt;=50, "36-50", E963&lt;=65, "51-65", TRUE, "Over 65")</f>
        <v>36-50</v>
      </c>
      <c r="G963" t="s">
        <v>14</v>
      </c>
      <c r="H963">
        <v>2</v>
      </c>
      <c r="I963" s="2">
        <v>30</v>
      </c>
      <c r="J963" s="2">
        <v>60</v>
      </c>
    </row>
    <row r="964" spans="1:10" x14ac:dyDescent="0.35">
      <c r="A964">
        <v>963</v>
      </c>
      <c r="B964" s="1">
        <v>45244</v>
      </c>
      <c r="C964" t="s">
        <v>976</v>
      </c>
      <c r="D964" t="s">
        <v>13</v>
      </c>
      <c r="E964">
        <v>55</v>
      </c>
      <c r="F964" t="str" cm="1">
        <f t="array" ref="F964">_xlfn.IFS(E964&lt;=35, "18-35", E964&lt;=50, "36-50", E964&lt;=65, "51-65", TRUE, "Over 65")</f>
        <v>51-65</v>
      </c>
      <c r="G964" t="s">
        <v>11</v>
      </c>
      <c r="H964">
        <v>1</v>
      </c>
      <c r="I964" s="2">
        <v>50</v>
      </c>
      <c r="J964" s="2">
        <v>50</v>
      </c>
    </row>
    <row r="965" spans="1:10" x14ac:dyDescent="0.35">
      <c r="A965">
        <v>964</v>
      </c>
      <c r="B965" s="1">
        <v>44957</v>
      </c>
      <c r="C965" t="s">
        <v>977</v>
      </c>
      <c r="D965" t="s">
        <v>10</v>
      </c>
      <c r="E965">
        <v>24</v>
      </c>
      <c r="F965" t="str" cm="1">
        <f t="array" ref="F965">_xlfn.IFS(E965&lt;=35, "18-35", E965&lt;=50, "36-50", E965&lt;=65, "51-65", TRUE, "Over 65")</f>
        <v>18-35</v>
      </c>
      <c r="G965" t="s">
        <v>14</v>
      </c>
      <c r="H965">
        <v>3</v>
      </c>
      <c r="I965" s="2">
        <v>300</v>
      </c>
      <c r="J965" s="2">
        <v>900</v>
      </c>
    </row>
    <row r="966" spans="1:10" x14ac:dyDescent="0.35">
      <c r="A966">
        <v>965</v>
      </c>
      <c r="B966" s="1">
        <v>45239</v>
      </c>
      <c r="C966" t="s">
        <v>978</v>
      </c>
      <c r="D966" t="s">
        <v>10</v>
      </c>
      <c r="E966">
        <v>22</v>
      </c>
      <c r="F966" t="str" cm="1">
        <f t="array" ref="F966">_xlfn.IFS(E966&lt;=35, "18-35", E966&lt;=50, "36-50", E966&lt;=65, "51-65", TRUE, "Over 65")</f>
        <v>18-35</v>
      </c>
      <c r="G966" t="s">
        <v>14</v>
      </c>
      <c r="H966">
        <v>4</v>
      </c>
      <c r="I966" s="2">
        <v>50</v>
      </c>
      <c r="J966" s="2">
        <v>200</v>
      </c>
    </row>
    <row r="967" spans="1:10" x14ac:dyDescent="0.35">
      <c r="A967">
        <v>966</v>
      </c>
      <c r="B967" s="1">
        <v>44977</v>
      </c>
      <c r="C967" t="s">
        <v>979</v>
      </c>
      <c r="D967" t="s">
        <v>10</v>
      </c>
      <c r="E967">
        <v>60</v>
      </c>
      <c r="F967" t="str" cm="1">
        <f t="array" ref="F967">_xlfn.IFS(E967&lt;=35, "18-35", E967&lt;=50, "36-50", E967&lt;=65, "51-65", TRUE, "Over 65")</f>
        <v>51-65</v>
      </c>
      <c r="G967" t="s">
        <v>16</v>
      </c>
      <c r="H967">
        <v>2</v>
      </c>
      <c r="I967" s="2">
        <v>500</v>
      </c>
      <c r="J967" s="2">
        <v>1000</v>
      </c>
    </row>
    <row r="968" spans="1:10" x14ac:dyDescent="0.35">
      <c r="A968">
        <v>967</v>
      </c>
      <c r="B968" s="1">
        <v>45033</v>
      </c>
      <c r="C968" t="s">
        <v>980</v>
      </c>
      <c r="D968" t="s">
        <v>10</v>
      </c>
      <c r="E968">
        <v>62</v>
      </c>
      <c r="F968" t="str" cm="1">
        <f t="array" ref="F968">_xlfn.IFS(E968&lt;=35, "18-35", E968&lt;=50, "36-50", E968&lt;=65, "51-65", TRUE, "Over 65")</f>
        <v>51-65</v>
      </c>
      <c r="G968" t="s">
        <v>11</v>
      </c>
      <c r="H968">
        <v>1</v>
      </c>
      <c r="I968" s="2">
        <v>25</v>
      </c>
      <c r="J968" s="2">
        <v>25</v>
      </c>
    </row>
    <row r="969" spans="1:10" x14ac:dyDescent="0.35">
      <c r="A969">
        <v>968</v>
      </c>
      <c r="B969" s="1">
        <v>45247</v>
      </c>
      <c r="C969" t="s">
        <v>981</v>
      </c>
      <c r="D969" t="s">
        <v>13</v>
      </c>
      <c r="E969">
        <v>48</v>
      </c>
      <c r="F969" t="str" cm="1">
        <f t="array" ref="F969">_xlfn.IFS(E969&lt;=35, "18-35", E969&lt;=50, "36-50", E969&lt;=65, "51-65", TRUE, "Over 65")</f>
        <v>36-50</v>
      </c>
      <c r="G969" t="s">
        <v>14</v>
      </c>
      <c r="H969">
        <v>3</v>
      </c>
      <c r="I969" s="2">
        <v>300</v>
      </c>
      <c r="J969" s="2">
        <v>900</v>
      </c>
    </row>
    <row r="970" spans="1:10" x14ac:dyDescent="0.35">
      <c r="A970">
        <v>969</v>
      </c>
      <c r="B970" s="1">
        <v>45035</v>
      </c>
      <c r="C970" t="s">
        <v>982</v>
      </c>
      <c r="D970" t="s">
        <v>13</v>
      </c>
      <c r="E970">
        <v>40</v>
      </c>
      <c r="F970" t="str" cm="1">
        <f t="array" ref="F970">_xlfn.IFS(E970&lt;=35, "18-35", E970&lt;=50, "36-50", E970&lt;=65, "51-65", TRUE, "Over 65")</f>
        <v>36-50</v>
      </c>
      <c r="G970" t="s">
        <v>14</v>
      </c>
      <c r="H970">
        <v>3</v>
      </c>
      <c r="I970" s="2">
        <v>300</v>
      </c>
      <c r="J970" s="2">
        <v>900</v>
      </c>
    </row>
    <row r="971" spans="1:10" x14ac:dyDescent="0.35">
      <c r="A971">
        <v>970</v>
      </c>
      <c r="B971" s="1">
        <v>45062</v>
      </c>
      <c r="C971" t="s">
        <v>983</v>
      </c>
      <c r="D971" t="s">
        <v>10</v>
      </c>
      <c r="E971">
        <v>59</v>
      </c>
      <c r="F971" t="str" cm="1">
        <f t="array" ref="F971">_xlfn.IFS(E971&lt;=35, "18-35", E971&lt;=50, "36-50", E971&lt;=65, "51-65", TRUE, "Over 65")</f>
        <v>51-65</v>
      </c>
      <c r="G971" t="s">
        <v>16</v>
      </c>
      <c r="H971">
        <v>4</v>
      </c>
      <c r="I971" s="2">
        <v>500</v>
      </c>
      <c r="J971" s="2">
        <v>2000</v>
      </c>
    </row>
    <row r="972" spans="1:10" x14ac:dyDescent="0.35">
      <c r="A972">
        <v>971</v>
      </c>
      <c r="B972" s="1">
        <v>45265</v>
      </c>
      <c r="C972" t="s">
        <v>984</v>
      </c>
      <c r="D972" t="s">
        <v>13</v>
      </c>
      <c r="E972">
        <v>27</v>
      </c>
      <c r="F972" t="str" cm="1">
        <f t="array" ref="F972">_xlfn.IFS(E972&lt;=35, "18-35", E972&lt;=50, "36-50", E972&lt;=65, "51-65", TRUE, "Over 65")</f>
        <v>18-35</v>
      </c>
      <c r="G972" t="s">
        <v>16</v>
      </c>
      <c r="H972">
        <v>4</v>
      </c>
      <c r="I972" s="2">
        <v>50</v>
      </c>
      <c r="J972" s="2">
        <v>200</v>
      </c>
    </row>
    <row r="973" spans="1:10" x14ac:dyDescent="0.35">
      <c r="A973">
        <v>972</v>
      </c>
      <c r="B973" s="1">
        <v>44968</v>
      </c>
      <c r="C973" t="s">
        <v>985</v>
      </c>
      <c r="D973" t="s">
        <v>10</v>
      </c>
      <c r="E973">
        <v>49</v>
      </c>
      <c r="F973" t="str" cm="1">
        <f t="array" ref="F973">_xlfn.IFS(E973&lt;=35, "18-35", E973&lt;=50, "36-50", E973&lt;=65, "51-65", TRUE, "Over 65")</f>
        <v>36-50</v>
      </c>
      <c r="G973" t="s">
        <v>11</v>
      </c>
      <c r="H973">
        <v>4</v>
      </c>
      <c r="I973" s="2">
        <v>25</v>
      </c>
      <c r="J973" s="2">
        <v>100</v>
      </c>
    </row>
    <row r="974" spans="1:10" x14ac:dyDescent="0.35">
      <c r="A974">
        <v>973</v>
      </c>
      <c r="B974" s="1">
        <v>45007</v>
      </c>
      <c r="C974" t="s">
        <v>986</v>
      </c>
      <c r="D974" t="s">
        <v>10</v>
      </c>
      <c r="E974">
        <v>60</v>
      </c>
      <c r="F974" t="str" cm="1">
        <f t="array" ref="F974">_xlfn.IFS(E974&lt;=35, "18-35", E974&lt;=50, "36-50", E974&lt;=65, "51-65", TRUE, "Over 65")</f>
        <v>51-65</v>
      </c>
      <c r="G974" t="s">
        <v>14</v>
      </c>
      <c r="H974">
        <v>1</v>
      </c>
      <c r="I974" s="2">
        <v>50</v>
      </c>
      <c r="J974" s="2">
        <v>50</v>
      </c>
    </row>
    <row r="975" spans="1:10" x14ac:dyDescent="0.35">
      <c r="A975">
        <v>974</v>
      </c>
      <c r="B975" s="1">
        <v>45049</v>
      </c>
      <c r="C975" t="s">
        <v>987</v>
      </c>
      <c r="D975" t="s">
        <v>10</v>
      </c>
      <c r="E975">
        <v>47</v>
      </c>
      <c r="F975" t="str" cm="1">
        <f t="array" ref="F975">_xlfn.IFS(E975&lt;=35, "18-35", E975&lt;=50, "36-50", E975&lt;=65, "51-65", TRUE, "Over 65")</f>
        <v>36-50</v>
      </c>
      <c r="G975" t="s">
        <v>11</v>
      </c>
      <c r="H975">
        <v>1</v>
      </c>
      <c r="I975" s="2">
        <v>30</v>
      </c>
      <c r="J975" s="2">
        <v>30</v>
      </c>
    </row>
    <row r="976" spans="1:10" x14ac:dyDescent="0.35">
      <c r="A976">
        <v>975</v>
      </c>
      <c r="B976" s="1">
        <v>45015</v>
      </c>
      <c r="C976" t="s">
        <v>988</v>
      </c>
      <c r="D976" t="s">
        <v>13</v>
      </c>
      <c r="E976">
        <v>56</v>
      </c>
      <c r="F976" t="str" cm="1">
        <f t="array" ref="F976">_xlfn.IFS(E976&lt;=35, "18-35", E976&lt;=50, "36-50", E976&lt;=65, "51-65", TRUE, "Over 65")</f>
        <v>51-65</v>
      </c>
      <c r="G976" t="s">
        <v>14</v>
      </c>
      <c r="H976">
        <v>4</v>
      </c>
      <c r="I976" s="2">
        <v>50</v>
      </c>
      <c r="J976" s="2">
        <v>200</v>
      </c>
    </row>
    <row r="977" spans="1:10" x14ac:dyDescent="0.35">
      <c r="A977">
        <v>976</v>
      </c>
      <c r="B977" s="1">
        <v>45209</v>
      </c>
      <c r="C977" t="s">
        <v>989</v>
      </c>
      <c r="D977" t="s">
        <v>13</v>
      </c>
      <c r="E977">
        <v>48</v>
      </c>
      <c r="F977" t="str" cm="1">
        <f t="array" ref="F977">_xlfn.IFS(E977&lt;=35, "18-35", E977&lt;=50, "36-50", E977&lt;=65, "51-65", TRUE, "Over 65")</f>
        <v>36-50</v>
      </c>
      <c r="G977" t="s">
        <v>11</v>
      </c>
      <c r="H977">
        <v>2</v>
      </c>
      <c r="I977" s="2">
        <v>300</v>
      </c>
      <c r="J977" s="2">
        <v>600</v>
      </c>
    </row>
    <row r="978" spans="1:10" x14ac:dyDescent="0.35">
      <c r="A978">
        <v>977</v>
      </c>
      <c r="B978" s="1">
        <v>44965</v>
      </c>
      <c r="C978" t="s">
        <v>990</v>
      </c>
      <c r="D978" t="s">
        <v>13</v>
      </c>
      <c r="E978">
        <v>35</v>
      </c>
      <c r="F978" t="str" cm="1">
        <f t="array" ref="F978">_xlfn.IFS(E978&lt;=35, "18-35", E978&lt;=50, "36-50", E978&lt;=65, "51-65", TRUE, "Over 65")</f>
        <v>18-35</v>
      </c>
      <c r="G978" t="s">
        <v>16</v>
      </c>
      <c r="H978">
        <v>3</v>
      </c>
      <c r="I978" s="2">
        <v>25</v>
      </c>
      <c r="J978" s="2">
        <v>75</v>
      </c>
    </row>
    <row r="979" spans="1:10" x14ac:dyDescent="0.35">
      <c r="A979">
        <v>978</v>
      </c>
      <c r="B979" s="1">
        <v>45007</v>
      </c>
      <c r="C979" t="s">
        <v>991</v>
      </c>
      <c r="D979" t="s">
        <v>13</v>
      </c>
      <c r="E979">
        <v>53</v>
      </c>
      <c r="F979" t="str" cm="1">
        <f t="array" ref="F979">_xlfn.IFS(E979&lt;=35, "18-35", E979&lt;=50, "36-50", E979&lt;=65, "51-65", TRUE, "Over 65")</f>
        <v>51-65</v>
      </c>
      <c r="G979" t="s">
        <v>14</v>
      </c>
      <c r="H979">
        <v>3</v>
      </c>
      <c r="I979" s="2">
        <v>50</v>
      </c>
      <c r="J979" s="2">
        <v>150</v>
      </c>
    </row>
    <row r="980" spans="1:10" x14ac:dyDescent="0.35">
      <c r="A980">
        <v>979</v>
      </c>
      <c r="B980" s="1">
        <v>44928</v>
      </c>
      <c r="C980" t="s">
        <v>992</v>
      </c>
      <c r="D980" t="s">
        <v>13</v>
      </c>
      <c r="E980">
        <v>19</v>
      </c>
      <c r="F980" t="str" cm="1">
        <f t="array" ref="F980">_xlfn.IFS(E980&lt;=35, "18-35", E980&lt;=50, "36-50", E980&lt;=65, "51-65", TRUE, "Over 65")</f>
        <v>18-35</v>
      </c>
      <c r="G980" t="s">
        <v>11</v>
      </c>
      <c r="H980">
        <v>1</v>
      </c>
      <c r="I980" s="2">
        <v>25</v>
      </c>
      <c r="J980" s="2">
        <v>25</v>
      </c>
    </row>
    <row r="981" spans="1:10" x14ac:dyDescent="0.35">
      <c r="A981">
        <v>980</v>
      </c>
      <c r="B981" s="1">
        <v>45136</v>
      </c>
      <c r="C981" t="s">
        <v>993</v>
      </c>
      <c r="D981" t="s">
        <v>13</v>
      </c>
      <c r="E981">
        <v>31</v>
      </c>
      <c r="F981" t="str" cm="1">
        <f t="array" ref="F981">_xlfn.IFS(E981&lt;=35, "18-35", E981&lt;=50, "36-50", E981&lt;=65, "51-65", TRUE, "Over 65")</f>
        <v>18-35</v>
      </c>
      <c r="G981" t="s">
        <v>16</v>
      </c>
      <c r="H981">
        <v>3</v>
      </c>
      <c r="I981" s="2">
        <v>25</v>
      </c>
      <c r="J981" s="2">
        <v>75</v>
      </c>
    </row>
    <row r="982" spans="1:10" x14ac:dyDescent="0.35">
      <c r="A982">
        <v>981</v>
      </c>
      <c r="B982" s="1">
        <v>45157</v>
      </c>
      <c r="C982" t="s">
        <v>994</v>
      </c>
      <c r="D982" t="s">
        <v>13</v>
      </c>
      <c r="E982">
        <v>30</v>
      </c>
      <c r="F982" t="str" cm="1">
        <f t="array" ref="F982">_xlfn.IFS(E982&lt;=35, "18-35", E982&lt;=50, "36-50", E982&lt;=65, "51-65", TRUE, "Over 65")</f>
        <v>18-35</v>
      </c>
      <c r="G982" t="s">
        <v>16</v>
      </c>
      <c r="H982">
        <v>2</v>
      </c>
      <c r="I982" s="2">
        <v>30</v>
      </c>
      <c r="J982" s="2">
        <v>60</v>
      </c>
    </row>
    <row r="983" spans="1:10" x14ac:dyDescent="0.35">
      <c r="A983">
        <v>982</v>
      </c>
      <c r="B983" s="1">
        <v>45279</v>
      </c>
      <c r="C983" t="s">
        <v>995</v>
      </c>
      <c r="D983" t="s">
        <v>13</v>
      </c>
      <c r="E983">
        <v>46</v>
      </c>
      <c r="F983" t="str" cm="1">
        <f t="array" ref="F983">_xlfn.IFS(E983&lt;=35, "18-35", E983&lt;=50, "36-50", E983&lt;=65, "51-65", TRUE, "Over 65")</f>
        <v>36-50</v>
      </c>
      <c r="G983" t="s">
        <v>11</v>
      </c>
      <c r="H983">
        <v>3</v>
      </c>
      <c r="I983" s="2">
        <v>30</v>
      </c>
      <c r="J983" s="2">
        <v>90</v>
      </c>
    </row>
    <row r="984" spans="1:10" x14ac:dyDescent="0.35">
      <c r="A984">
        <v>983</v>
      </c>
      <c r="B984" s="1">
        <v>45231</v>
      </c>
      <c r="C984" t="s">
        <v>996</v>
      </c>
      <c r="D984" t="s">
        <v>13</v>
      </c>
      <c r="E984">
        <v>29</v>
      </c>
      <c r="F984" t="str" cm="1">
        <f t="array" ref="F984">_xlfn.IFS(E984&lt;=35, "18-35", E984&lt;=50, "36-50", E984&lt;=65, "51-65", TRUE, "Over 65")</f>
        <v>18-35</v>
      </c>
      <c r="G984" t="s">
        <v>14</v>
      </c>
      <c r="H984">
        <v>1</v>
      </c>
      <c r="I984" s="2">
        <v>300</v>
      </c>
      <c r="J984" s="2">
        <v>300</v>
      </c>
    </row>
    <row r="985" spans="1:10" x14ac:dyDescent="0.35">
      <c r="A985">
        <v>984</v>
      </c>
      <c r="B985" s="1">
        <v>45167</v>
      </c>
      <c r="C985" t="s">
        <v>997</v>
      </c>
      <c r="D985" t="s">
        <v>10</v>
      </c>
      <c r="E985">
        <v>56</v>
      </c>
      <c r="F985" t="str" cm="1">
        <f t="array" ref="F985">_xlfn.IFS(E985&lt;=35, "18-35", E985&lt;=50, "36-50", E985&lt;=65, "51-65", TRUE, "Over 65")</f>
        <v>51-65</v>
      </c>
      <c r="G985" t="s">
        <v>14</v>
      </c>
      <c r="H985">
        <v>1</v>
      </c>
      <c r="I985" s="2">
        <v>500</v>
      </c>
      <c r="J985" s="2">
        <v>500</v>
      </c>
    </row>
    <row r="986" spans="1:10" x14ac:dyDescent="0.35">
      <c r="A986">
        <v>985</v>
      </c>
      <c r="B986" s="1">
        <v>45076</v>
      </c>
      <c r="C986" t="s">
        <v>998</v>
      </c>
      <c r="D986" t="s">
        <v>13</v>
      </c>
      <c r="E986">
        <v>19</v>
      </c>
      <c r="F986" t="str" cm="1">
        <f t="array" ref="F986">_xlfn.IFS(E986&lt;=35, "18-35", E986&lt;=50, "36-50", E986&lt;=65, "51-65", TRUE, "Over 65")</f>
        <v>18-35</v>
      </c>
      <c r="G986" t="s">
        <v>16</v>
      </c>
      <c r="H986">
        <v>2</v>
      </c>
      <c r="I986" s="2">
        <v>25</v>
      </c>
      <c r="J986" s="2">
        <v>50</v>
      </c>
    </row>
    <row r="987" spans="1:10" x14ac:dyDescent="0.35">
      <c r="A987">
        <v>986</v>
      </c>
      <c r="B987" s="1">
        <v>44943</v>
      </c>
      <c r="C987" t="s">
        <v>999</v>
      </c>
      <c r="D987" t="s">
        <v>13</v>
      </c>
      <c r="E987">
        <v>49</v>
      </c>
      <c r="F987" t="str" cm="1">
        <f t="array" ref="F987">_xlfn.IFS(E987&lt;=35, "18-35", E987&lt;=50, "36-50", E987&lt;=65, "51-65", TRUE, "Over 65")</f>
        <v>36-50</v>
      </c>
      <c r="G987" t="s">
        <v>14</v>
      </c>
      <c r="H987">
        <v>2</v>
      </c>
      <c r="I987" s="2">
        <v>500</v>
      </c>
      <c r="J987" s="2">
        <v>1000</v>
      </c>
    </row>
    <row r="988" spans="1:10" x14ac:dyDescent="0.35">
      <c r="A988">
        <v>987</v>
      </c>
      <c r="B988" s="1">
        <v>45045</v>
      </c>
      <c r="C988" t="s">
        <v>1000</v>
      </c>
      <c r="D988" t="s">
        <v>13</v>
      </c>
      <c r="E988">
        <v>30</v>
      </c>
      <c r="F988" t="str" cm="1">
        <f t="array" ref="F988">_xlfn.IFS(E988&lt;=35, "18-35", E988&lt;=50, "36-50", E988&lt;=65, "51-65", TRUE, "Over 65")</f>
        <v>18-35</v>
      </c>
      <c r="G988" t="s">
        <v>14</v>
      </c>
      <c r="H988">
        <v>3</v>
      </c>
      <c r="I988" s="2">
        <v>300</v>
      </c>
      <c r="J988" s="2">
        <v>900</v>
      </c>
    </row>
    <row r="989" spans="1:10" x14ac:dyDescent="0.35">
      <c r="A989">
        <v>988</v>
      </c>
      <c r="B989" s="1">
        <v>45074</v>
      </c>
      <c r="C989" t="s">
        <v>1001</v>
      </c>
      <c r="D989" t="s">
        <v>13</v>
      </c>
      <c r="E989">
        <v>63</v>
      </c>
      <c r="F989" t="str" cm="1">
        <f t="array" ref="F989">_xlfn.IFS(E989&lt;=35, "18-35", E989&lt;=50, "36-50", E989&lt;=65, "51-65", TRUE, "Over 65")</f>
        <v>51-65</v>
      </c>
      <c r="G989" t="s">
        <v>14</v>
      </c>
      <c r="H989">
        <v>3</v>
      </c>
      <c r="I989" s="2">
        <v>25</v>
      </c>
      <c r="J989" s="2">
        <v>75</v>
      </c>
    </row>
    <row r="990" spans="1:10" x14ac:dyDescent="0.35">
      <c r="A990">
        <v>989</v>
      </c>
      <c r="B990" s="1">
        <v>45288</v>
      </c>
      <c r="C990" t="s">
        <v>1002</v>
      </c>
      <c r="D990" t="s">
        <v>13</v>
      </c>
      <c r="E990">
        <v>44</v>
      </c>
      <c r="F990" t="str" cm="1">
        <f t="array" ref="F990">_xlfn.IFS(E990&lt;=35, "18-35", E990&lt;=50, "36-50", E990&lt;=65, "51-65", TRUE, "Over 65")</f>
        <v>36-50</v>
      </c>
      <c r="G990" t="s">
        <v>16</v>
      </c>
      <c r="H990">
        <v>1</v>
      </c>
      <c r="I990" s="2">
        <v>25</v>
      </c>
      <c r="J990" s="2">
        <v>25</v>
      </c>
    </row>
    <row r="991" spans="1:10" x14ac:dyDescent="0.35">
      <c r="A991">
        <v>990</v>
      </c>
      <c r="B991" s="1">
        <v>45071</v>
      </c>
      <c r="C991" t="s">
        <v>1003</v>
      </c>
      <c r="D991" t="s">
        <v>13</v>
      </c>
      <c r="E991">
        <v>58</v>
      </c>
      <c r="F991" t="str" cm="1">
        <f t="array" ref="F991">_xlfn.IFS(E991&lt;=35, "18-35", E991&lt;=50, "36-50", E991&lt;=65, "51-65", TRUE, "Over 65")</f>
        <v>51-65</v>
      </c>
      <c r="G991" t="s">
        <v>11</v>
      </c>
      <c r="H991">
        <v>2</v>
      </c>
      <c r="I991" s="2">
        <v>500</v>
      </c>
      <c r="J991" s="2">
        <v>1000</v>
      </c>
    </row>
    <row r="992" spans="1:10" x14ac:dyDescent="0.35">
      <c r="A992">
        <v>991</v>
      </c>
      <c r="B992" s="1">
        <v>45286</v>
      </c>
      <c r="C992" t="s">
        <v>1004</v>
      </c>
      <c r="D992" t="s">
        <v>13</v>
      </c>
      <c r="E992">
        <v>34</v>
      </c>
      <c r="F992" t="str" cm="1">
        <f t="array" ref="F992">_xlfn.IFS(E992&lt;=35, "18-35", E992&lt;=50, "36-50", E992&lt;=65, "51-65", TRUE, "Over 65")</f>
        <v>18-35</v>
      </c>
      <c r="G992" t="s">
        <v>14</v>
      </c>
      <c r="H992">
        <v>2</v>
      </c>
      <c r="I992" s="2">
        <v>50</v>
      </c>
      <c r="J992" s="2">
        <v>100</v>
      </c>
    </row>
    <row r="993" spans="1:10" x14ac:dyDescent="0.35">
      <c r="A993">
        <v>992</v>
      </c>
      <c r="B993" s="1">
        <v>45159</v>
      </c>
      <c r="C993" t="s">
        <v>1005</v>
      </c>
      <c r="D993" t="s">
        <v>13</v>
      </c>
      <c r="E993">
        <v>57</v>
      </c>
      <c r="F993" t="str" cm="1">
        <f t="array" ref="F993">_xlfn.IFS(E993&lt;=35, "18-35", E993&lt;=50, "36-50", E993&lt;=65, "51-65", TRUE, "Over 65")</f>
        <v>51-65</v>
      </c>
      <c r="G993" t="s">
        <v>16</v>
      </c>
      <c r="H993">
        <v>2</v>
      </c>
      <c r="I993" s="2">
        <v>30</v>
      </c>
      <c r="J993" s="2">
        <v>60</v>
      </c>
    </row>
    <row r="994" spans="1:10" x14ac:dyDescent="0.35">
      <c r="A994">
        <v>993</v>
      </c>
      <c r="B994" s="1">
        <v>44963</v>
      </c>
      <c r="C994" t="s">
        <v>1006</v>
      </c>
      <c r="D994" t="s">
        <v>13</v>
      </c>
      <c r="E994">
        <v>48</v>
      </c>
      <c r="F994" t="str" cm="1">
        <f t="array" ref="F994">_xlfn.IFS(E994&lt;=35, "18-35", E994&lt;=50, "36-50", E994&lt;=65, "51-65", TRUE, "Over 65")</f>
        <v>36-50</v>
      </c>
      <c r="G994" t="s">
        <v>16</v>
      </c>
      <c r="H994">
        <v>3</v>
      </c>
      <c r="I994" s="2">
        <v>50</v>
      </c>
      <c r="J994" s="2">
        <v>150</v>
      </c>
    </row>
    <row r="995" spans="1:10" x14ac:dyDescent="0.35">
      <c r="A995">
        <v>994</v>
      </c>
      <c r="B995" s="1">
        <v>45278</v>
      </c>
      <c r="C995" t="s">
        <v>1007</v>
      </c>
      <c r="D995" t="s">
        <v>13</v>
      </c>
      <c r="E995">
        <v>51</v>
      </c>
      <c r="F995" t="str" cm="1">
        <f t="array" ref="F995">_xlfn.IFS(E995&lt;=35, "18-35", E995&lt;=50, "36-50", E995&lt;=65, "51-65", TRUE, "Over 65")</f>
        <v>51-65</v>
      </c>
      <c r="G995" t="s">
        <v>11</v>
      </c>
      <c r="H995">
        <v>2</v>
      </c>
      <c r="I995" s="2">
        <v>500</v>
      </c>
      <c r="J995" s="2">
        <v>1000</v>
      </c>
    </row>
    <row r="996" spans="1:10" x14ac:dyDescent="0.35">
      <c r="A996">
        <v>995</v>
      </c>
      <c r="B996" s="1">
        <v>45046</v>
      </c>
      <c r="C996" t="s">
        <v>1008</v>
      </c>
      <c r="D996" t="s">
        <v>13</v>
      </c>
      <c r="E996">
        <v>41</v>
      </c>
      <c r="F996" t="str" cm="1">
        <f t="array" ref="F996">_xlfn.IFS(E996&lt;=35, "18-35", E996&lt;=50, "36-50", E996&lt;=65, "51-65", TRUE, "Over 65")</f>
        <v>36-50</v>
      </c>
      <c r="G996" t="s">
        <v>14</v>
      </c>
      <c r="H996">
        <v>1</v>
      </c>
      <c r="I996" s="2">
        <v>30</v>
      </c>
      <c r="J996" s="2">
        <v>30</v>
      </c>
    </row>
    <row r="997" spans="1:10" x14ac:dyDescent="0.35">
      <c r="A997">
        <v>996</v>
      </c>
      <c r="B997" s="1">
        <v>45062</v>
      </c>
      <c r="C997" t="s">
        <v>1009</v>
      </c>
      <c r="D997" t="s">
        <v>10</v>
      </c>
      <c r="E997">
        <v>62</v>
      </c>
      <c r="F997" t="str" cm="1">
        <f t="array" ref="F997">_xlfn.IFS(E997&lt;=35, "18-35", E997&lt;=50, "36-50", E997&lt;=65, "51-65", TRUE, "Over 65")</f>
        <v>51-65</v>
      </c>
      <c r="G997" t="s">
        <v>14</v>
      </c>
      <c r="H997">
        <v>1</v>
      </c>
      <c r="I997" s="2">
        <v>50</v>
      </c>
      <c r="J997" s="2">
        <v>50</v>
      </c>
    </row>
    <row r="998" spans="1:10" x14ac:dyDescent="0.35">
      <c r="A998">
        <v>997</v>
      </c>
      <c r="B998" s="1">
        <v>45247</v>
      </c>
      <c r="C998" t="s">
        <v>1010</v>
      </c>
      <c r="D998" t="s">
        <v>10</v>
      </c>
      <c r="E998">
        <v>52</v>
      </c>
      <c r="F998" t="str" cm="1">
        <f t="array" ref="F998">_xlfn.IFS(E998&lt;=35, "18-35", E998&lt;=50, "36-50", E998&lt;=65, "51-65", TRUE, "Over 65")</f>
        <v>51-65</v>
      </c>
      <c r="G998" t="s">
        <v>11</v>
      </c>
      <c r="H998">
        <v>3</v>
      </c>
      <c r="I998" s="2">
        <v>30</v>
      </c>
      <c r="J998" s="2">
        <v>90</v>
      </c>
    </row>
    <row r="999" spans="1:10" x14ac:dyDescent="0.35">
      <c r="A999">
        <v>998</v>
      </c>
      <c r="B999" s="1">
        <v>45228</v>
      </c>
      <c r="C999" t="s">
        <v>1011</v>
      </c>
      <c r="D999" t="s">
        <v>13</v>
      </c>
      <c r="E999">
        <v>23</v>
      </c>
      <c r="F999" t="str" cm="1">
        <f t="array" ref="F999">_xlfn.IFS(E999&lt;=35, "18-35", E999&lt;=50, "36-50", E999&lt;=65, "51-65", TRUE, "Over 65")</f>
        <v>18-35</v>
      </c>
      <c r="G999" t="s">
        <v>11</v>
      </c>
      <c r="H999">
        <v>4</v>
      </c>
      <c r="I999" s="2">
        <v>25</v>
      </c>
      <c r="J999" s="2">
        <v>100</v>
      </c>
    </row>
    <row r="1000" spans="1:10" x14ac:dyDescent="0.35">
      <c r="A1000">
        <v>999</v>
      </c>
      <c r="B1000" s="1">
        <v>45265</v>
      </c>
      <c r="C1000" t="s">
        <v>1012</v>
      </c>
      <c r="D1000" t="s">
        <v>13</v>
      </c>
      <c r="E1000">
        <v>36</v>
      </c>
      <c r="F1000" t="str" cm="1">
        <f t="array" ref="F1000">_xlfn.IFS(E1000&lt;=35, "18-35", E1000&lt;=50, "36-50", E1000&lt;=65, "51-65", TRUE, "Over 65")</f>
        <v>36-50</v>
      </c>
      <c r="G1000" t="s">
        <v>16</v>
      </c>
      <c r="H1000">
        <v>3</v>
      </c>
      <c r="I1000" s="2">
        <v>50</v>
      </c>
      <c r="J1000" s="2">
        <v>150</v>
      </c>
    </row>
    <row r="1001" spans="1:10" x14ac:dyDescent="0.35">
      <c r="A1001">
        <v>1000</v>
      </c>
      <c r="B1001" s="1">
        <v>45028</v>
      </c>
      <c r="C1001" t="s">
        <v>1013</v>
      </c>
      <c r="D1001" t="s">
        <v>10</v>
      </c>
      <c r="E1001">
        <v>47</v>
      </c>
      <c r="F1001" t="str" cm="1">
        <f t="array" ref="F1001">_xlfn.IFS(E1001&lt;=35, "18-35", E1001&lt;=50, "36-50", E1001&lt;=65, "51-65", TRUE, "Over 65")</f>
        <v>36-50</v>
      </c>
      <c r="G1001" t="s">
        <v>16</v>
      </c>
      <c r="H1001">
        <v>4</v>
      </c>
      <c r="I1001" s="2">
        <v>30</v>
      </c>
      <c r="J1001" s="2">
        <v>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D46F-1DB7-4219-87C4-909A03ACCB17}">
  <dimension ref="A1:I130"/>
  <sheetViews>
    <sheetView tabSelected="1" topLeftCell="B114" workbookViewId="0">
      <selection activeCell="F144" sqref="F144"/>
    </sheetView>
  </sheetViews>
  <sheetFormatPr defaultRowHeight="14.5" x14ac:dyDescent="0.35"/>
  <cols>
    <col min="1" max="1" width="17.453125" bestFit="1" customWidth="1"/>
    <col min="2" max="2" width="12.453125" bestFit="1" customWidth="1"/>
    <col min="3" max="3" width="8.36328125" bestFit="1" customWidth="1"/>
    <col min="4" max="4" width="10.1796875" bestFit="1" customWidth="1"/>
    <col min="5" max="5" width="10.36328125" bestFit="1" customWidth="1"/>
    <col min="6" max="6" width="12.54296875" bestFit="1" customWidth="1"/>
    <col min="7" max="7" width="15.08984375" bestFit="1" customWidth="1"/>
    <col min="8" max="8" width="17.1796875" bestFit="1" customWidth="1"/>
    <col min="9" max="9" width="19.6328125" bestFit="1" customWidth="1"/>
  </cols>
  <sheetData>
    <row r="1" spans="1:9" x14ac:dyDescent="0.35">
      <c r="A1" t="s">
        <v>1015</v>
      </c>
    </row>
    <row r="3" spans="1:9" x14ac:dyDescent="0.35">
      <c r="B3" s="3" t="s">
        <v>5</v>
      </c>
    </row>
    <row r="4" spans="1:9" x14ac:dyDescent="0.35">
      <c r="B4" t="s">
        <v>11</v>
      </c>
      <c r="D4" t="s">
        <v>14</v>
      </c>
      <c r="F4" t="s">
        <v>16</v>
      </c>
      <c r="H4" t="s">
        <v>1022</v>
      </c>
      <c r="I4" t="s">
        <v>1023</v>
      </c>
    </row>
    <row r="5" spans="1:9" x14ac:dyDescent="0.35">
      <c r="A5" s="3" t="s">
        <v>1021</v>
      </c>
      <c r="B5" t="s">
        <v>1020</v>
      </c>
      <c r="C5" t="s">
        <v>1024</v>
      </c>
      <c r="D5" t="s">
        <v>1020</v>
      </c>
      <c r="E5" t="s">
        <v>1024</v>
      </c>
      <c r="F5" t="s">
        <v>1020</v>
      </c>
      <c r="G5" t="s">
        <v>1024</v>
      </c>
    </row>
    <row r="6" spans="1:9" x14ac:dyDescent="0.35">
      <c r="A6" s="4" t="s">
        <v>13</v>
      </c>
      <c r="B6" s="2">
        <v>74830</v>
      </c>
      <c r="C6" s="2">
        <v>450.7831325301205</v>
      </c>
      <c r="D6" s="2">
        <v>81275</v>
      </c>
      <c r="E6" s="2">
        <v>467.09770114942529</v>
      </c>
      <c r="F6" s="2">
        <v>76735</v>
      </c>
      <c r="G6" s="2">
        <v>451.38235294117646</v>
      </c>
      <c r="H6" s="2">
        <v>232840</v>
      </c>
      <c r="I6" s="2">
        <v>456.54901960784315</v>
      </c>
    </row>
    <row r="7" spans="1:9" x14ac:dyDescent="0.35">
      <c r="A7" s="5" t="s">
        <v>1017</v>
      </c>
      <c r="B7" s="2">
        <v>32185</v>
      </c>
      <c r="C7" s="2">
        <v>473.30882352941177</v>
      </c>
      <c r="D7" s="2">
        <v>31145</v>
      </c>
      <c r="E7" s="2">
        <v>587.64150943396226</v>
      </c>
      <c r="F7" s="2">
        <v>31255</v>
      </c>
      <c r="G7" s="2">
        <v>466.49253731343282</v>
      </c>
      <c r="H7" s="2">
        <v>94585</v>
      </c>
      <c r="I7" s="2">
        <v>503.11170212765956</v>
      </c>
    </row>
    <row r="8" spans="1:9" x14ac:dyDescent="0.35">
      <c r="A8" s="5" t="s">
        <v>1018</v>
      </c>
      <c r="B8" s="2">
        <v>24235</v>
      </c>
      <c r="C8" s="2">
        <v>494.59183673469386</v>
      </c>
      <c r="D8" s="2">
        <v>25345</v>
      </c>
      <c r="E8" s="2">
        <v>408.79032258064518</v>
      </c>
      <c r="F8" s="2">
        <v>21210</v>
      </c>
      <c r="G8" s="2">
        <v>400.18867924528303</v>
      </c>
      <c r="H8" s="2">
        <v>70790</v>
      </c>
      <c r="I8" s="2">
        <v>431.64634146341461</v>
      </c>
    </row>
    <row r="9" spans="1:9" x14ac:dyDescent="0.35">
      <c r="A9" s="5" t="s">
        <v>1019</v>
      </c>
      <c r="B9" s="2">
        <v>18410</v>
      </c>
      <c r="C9" s="2">
        <v>375.71428571428572</v>
      </c>
      <c r="D9" s="2">
        <v>24785</v>
      </c>
      <c r="E9" s="2">
        <v>420.08474576271186</v>
      </c>
      <c r="F9" s="2">
        <v>24270</v>
      </c>
      <c r="G9" s="2">
        <v>485.4</v>
      </c>
      <c r="H9" s="2">
        <v>67465</v>
      </c>
      <c r="I9" s="2">
        <v>426.99367088607596</v>
      </c>
    </row>
    <row r="10" spans="1:9" x14ac:dyDescent="0.35">
      <c r="A10" s="4" t="s">
        <v>10</v>
      </c>
      <c r="B10" s="2">
        <v>68685</v>
      </c>
      <c r="C10" s="2">
        <v>487.12765957446811</v>
      </c>
      <c r="D10" s="2">
        <v>74305</v>
      </c>
      <c r="E10" s="2">
        <v>419.80225988700568</v>
      </c>
      <c r="F10" s="2">
        <v>80170</v>
      </c>
      <c r="G10" s="2">
        <v>466.10465116279067</v>
      </c>
      <c r="H10" s="2">
        <v>223160</v>
      </c>
      <c r="I10" s="2">
        <v>455.42857142857144</v>
      </c>
    </row>
    <row r="11" spans="1:9" x14ac:dyDescent="0.35">
      <c r="A11" s="5" t="s">
        <v>1017</v>
      </c>
      <c r="B11" s="2">
        <v>30335</v>
      </c>
      <c r="C11" s="2">
        <v>514.15254237288138</v>
      </c>
      <c r="D11" s="2">
        <v>35340</v>
      </c>
      <c r="E11" s="2">
        <v>490.83333333333331</v>
      </c>
      <c r="F11" s="2">
        <v>22770</v>
      </c>
      <c r="G11" s="2">
        <v>414</v>
      </c>
      <c r="H11" s="2">
        <v>88445</v>
      </c>
      <c r="I11" s="2">
        <v>475.51075268817203</v>
      </c>
    </row>
    <row r="12" spans="1:9" x14ac:dyDescent="0.35">
      <c r="A12" s="5" t="s">
        <v>1018</v>
      </c>
      <c r="B12" s="2">
        <v>24875</v>
      </c>
      <c r="C12" s="2">
        <v>578.48837209302326</v>
      </c>
      <c r="D12" s="2">
        <v>17630</v>
      </c>
      <c r="E12" s="2">
        <v>345.68627450980392</v>
      </c>
      <c r="F12" s="2">
        <v>26365</v>
      </c>
      <c r="G12" s="2">
        <v>479.36363636363637</v>
      </c>
      <c r="H12" s="2">
        <v>68870</v>
      </c>
      <c r="I12" s="2">
        <v>462.21476510067112</v>
      </c>
    </row>
    <row r="13" spans="1:9" x14ac:dyDescent="0.35">
      <c r="A13" s="5" t="s">
        <v>1019</v>
      </c>
      <c r="B13" s="2">
        <v>13475</v>
      </c>
      <c r="C13" s="2">
        <v>345.5128205128205</v>
      </c>
      <c r="D13" s="2">
        <v>21335</v>
      </c>
      <c r="E13" s="2">
        <v>395.09259259259261</v>
      </c>
      <c r="F13" s="2">
        <v>31035</v>
      </c>
      <c r="G13" s="2">
        <v>500.56451612903226</v>
      </c>
      <c r="H13" s="2">
        <v>65845</v>
      </c>
      <c r="I13" s="2">
        <v>424.80645161290323</v>
      </c>
    </row>
    <row r="14" spans="1:9" x14ac:dyDescent="0.35">
      <c r="A14" s="4" t="s">
        <v>1016</v>
      </c>
      <c r="B14" s="2">
        <v>143515</v>
      </c>
      <c r="C14" s="2">
        <v>467.47557003257327</v>
      </c>
      <c r="D14" s="2">
        <v>155580</v>
      </c>
      <c r="E14" s="2">
        <v>443.24786324786322</v>
      </c>
      <c r="F14" s="2">
        <v>156905</v>
      </c>
      <c r="G14" s="2">
        <v>458.78654970760232</v>
      </c>
      <c r="H14" s="2">
        <v>456000</v>
      </c>
      <c r="I14" s="2">
        <v>456</v>
      </c>
    </row>
    <row r="15" spans="1:9" x14ac:dyDescent="0.35">
      <c r="A15" s="4"/>
      <c r="B15" s="2"/>
      <c r="C15" s="2"/>
      <c r="D15" s="2"/>
      <c r="E15" s="2"/>
      <c r="F15" s="2"/>
      <c r="G15" s="2"/>
      <c r="H15" s="2"/>
      <c r="I15" s="2"/>
    </row>
    <row r="16" spans="1:9" x14ac:dyDescent="0.35">
      <c r="A16" s="4"/>
      <c r="B16" s="2"/>
      <c r="C16" s="2"/>
      <c r="D16" s="2"/>
      <c r="E16" s="2"/>
      <c r="F16" s="2"/>
      <c r="G16" s="2"/>
      <c r="H16" s="2"/>
      <c r="I16" s="2"/>
    </row>
    <row r="17" spans="1:9" x14ac:dyDescent="0.35">
      <c r="A17" s="4"/>
      <c r="B17" s="2"/>
      <c r="C17" s="2"/>
      <c r="D17" s="2"/>
      <c r="E17" s="2"/>
      <c r="F17" s="2"/>
      <c r="G17" s="2"/>
      <c r="H17" s="2"/>
      <c r="I17" s="2"/>
    </row>
    <row r="18" spans="1:9" x14ac:dyDescent="0.35">
      <c r="A18" s="4"/>
      <c r="B18" s="2"/>
      <c r="C18" s="2"/>
      <c r="D18" s="2"/>
      <c r="E18" s="2"/>
      <c r="F18" s="2"/>
      <c r="G18" s="2"/>
      <c r="H18" s="2"/>
      <c r="I18" s="2"/>
    </row>
    <row r="19" spans="1:9" x14ac:dyDescent="0.35">
      <c r="A19" s="4"/>
      <c r="B19" s="2"/>
      <c r="C19" s="2"/>
      <c r="D19" s="2"/>
      <c r="E19" s="2"/>
      <c r="F19" s="2"/>
      <c r="G19" s="2"/>
      <c r="H19" s="2"/>
      <c r="I19" s="2"/>
    </row>
    <row r="20" spans="1:9" x14ac:dyDescent="0.35">
      <c r="A20" s="4"/>
      <c r="B20" s="2"/>
      <c r="C20" s="2"/>
      <c r="D20" s="2"/>
      <c r="E20" s="2"/>
      <c r="F20" s="2"/>
      <c r="G20" s="2"/>
      <c r="H20" s="2"/>
      <c r="I20" s="2"/>
    </row>
    <row r="21" spans="1:9" x14ac:dyDescent="0.35">
      <c r="A21" s="4"/>
      <c r="B21" s="2"/>
      <c r="C21" s="2"/>
      <c r="D21" s="2"/>
      <c r="E21" s="2"/>
      <c r="F21" s="2"/>
      <c r="G21" s="2"/>
      <c r="H21" s="2"/>
      <c r="I21" s="2"/>
    </row>
    <row r="22" spans="1:9" x14ac:dyDescent="0.35">
      <c r="A22" s="4"/>
      <c r="B22" s="2"/>
      <c r="C22" s="2"/>
      <c r="D22" s="2"/>
      <c r="E22" s="2"/>
      <c r="F22" s="2"/>
      <c r="G22" s="2"/>
      <c r="H22" s="2"/>
      <c r="I22" s="2"/>
    </row>
    <row r="23" spans="1:9" x14ac:dyDescent="0.35">
      <c r="A23" s="4"/>
      <c r="B23" s="2"/>
      <c r="C23" s="2"/>
      <c r="D23" s="2"/>
      <c r="E23" s="2"/>
      <c r="F23" s="2"/>
      <c r="G23" s="2"/>
      <c r="H23" s="2"/>
      <c r="I23" s="2"/>
    </row>
    <row r="24" spans="1:9" x14ac:dyDescent="0.35">
      <c r="A24" s="4"/>
      <c r="B24" s="2"/>
      <c r="C24" s="2"/>
      <c r="D24" s="2"/>
      <c r="E24" s="2"/>
      <c r="F24" s="2"/>
      <c r="G24" s="2"/>
      <c r="H24" s="2"/>
      <c r="I24" s="2"/>
    </row>
    <row r="25" spans="1:9" x14ac:dyDescent="0.35">
      <c r="A25" s="4"/>
      <c r="B25" s="2"/>
      <c r="C25" s="2"/>
      <c r="D25" s="2"/>
      <c r="E25" s="2"/>
      <c r="F25" s="2"/>
      <c r="G25" s="2"/>
      <c r="H25" s="2"/>
      <c r="I25" s="2"/>
    </row>
    <row r="26" spans="1:9" x14ac:dyDescent="0.35">
      <c r="A26" s="4"/>
      <c r="B26" s="2"/>
      <c r="C26" s="2"/>
      <c r="D26" s="2"/>
      <c r="E26" s="2"/>
      <c r="F26" s="2"/>
      <c r="G26" s="2"/>
      <c r="H26" s="2"/>
      <c r="I26" s="2"/>
    </row>
    <row r="27" spans="1:9" x14ac:dyDescent="0.35">
      <c r="A27" s="4"/>
      <c r="B27" s="2"/>
      <c r="C27" s="2"/>
      <c r="D27" s="2"/>
      <c r="E27" s="2"/>
      <c r="F27" s="2"/>
      <c r="G27" s="2"/>
      <c r="H27" s="2"/>
      <c r="I27" s="2"/>
    </row>
    <row r="28" spans="1:9" x14ac:dyDescent="0.35">
      <c r="A28" s="4"/>
      <c r="B28" s="2"/>
      <c r="C28" s="2"/>
      <c r="D28" s="2"/>
      <c r="E28" s="2"/>
      <c r="F28" s="2"/>
      <c r="G28" s="2"/>
      <c r="H28" s="2"/>
      <c r="I28" s="2"/>
    </row>
    <row r="29" spans="1:9" x14ac:dyDescent="0.35">
      <c r="A29" s="4"/>
      <c r="B29" s="2"/>
      <c r="C29" s="2"/>
      <c r="D29" s="2"/>
      <c r="E29" s="2"/>
      <c r="F29" s="2"/>
      <c r="G29" s="2"/>
      <c r="H29" s="2"/>
      <c r="I29" s="2"/>
    </row>
    <row r="30" spans="1:9" x14ac:dyDescent="0.35">
      <c r="A30" s="4"/>
      <c r="B30" s="2"/>
      <c r="C30" s="2"/>
      <c r="D30" s="2"/>
      <c r="E30" s="2"/>
      <c r="F30" s="2"/>
      <c r="G30" s="2"/>
      <c r="H30" s="2"/>
      <c r="I30" s="2"/>
    </row>
    <row r="31" spans="1:9" x14ac:dyDescent="0.35">
      <c r="A31" s="4"/>
      <c r="B31" s="2"/>
      <c r="C31" s="2"/>
      <c r="D31" s="2"/>
      <c r="E31" s="2"/>
      <c r="F31" s="2"/>
      <c r="G31" s="2"/>
      <c r="H31" s="2"/>
      <c r="I31" s="2"/>
    </row>
    <row r="32" spans="1:9" x14ac:dyDescent="0.35">
      <c r="A32" s="4"/>
      <c r="B32" s="2"/>
      <c r="C32" s="2"/>
      <c r="D32" s="2"/>
      <c r="E32" s="2"/>
      <c r="F32" s="2"/>
      <c r="G32" s="2"/>
      <c r="H32" s="2"/>
      <c r="I32" s="2"/>
    </row>
    <row r="33" spans="1:9" x14ac:dyDescent="0.35">
      <c r="A33" s="4"/>
      <c r="B33" s="2"/>
      <c r="C33" s="2"/>
      <c r="D33" s="2"/>
      <c r="E33" s="2"/>
      <c r="F33" s="2"/>
      <c r="G33" s="2"/>
      <c r="H33" s="2"/>
      <c r="I33" s="2"/>
    </row>
    <row r="36" spans="1:9" x14ac:dyDescent="0.35">
      <c r="A36" t="s">
        <v>1025</v>
      </c>
    </row>
    <row r="37" spans="1:9" x14ac:dyDescent="0.35">
      <c r="A37" s="3" t="s">
        <v>1</v>
      </c>
      <c r="B37" t="s">
        <v>1020</v>
      </c>
    </row>
    <row r="38" spans="1:9" x14ac:dyDescent="0.35">
      <c r="A38" s="4" t="s">
        <v>1026</v>
      </c>
      <c r="B38" s="2">
        <v>454470</v>
      </c>
    </row>
    <row r="39" spans="1:9" x14ac:dyDescent="0.35">
      <c r="A39" s="5" t="s">
        <v>1028</v>
      </c>
      <c r="B39" s="2">
        <v>108500</v>
      </c>
    </row>
    <row r="40" spans="1:9" x14ac:dyDescent="0.35">
      <c r="A40" s="6" t="s">
        <v>1032</v>
      </c>
      <c r="B40" s="2">
        <v>35450</v>
      </c>
    </row>
    <row r="41" spans="1:9" x14ac:dyDescent="0.35">
      <c r="A41" s="6" t="s">
        <v>1033</v>
      </c>
      <c r="B41" s="2">
        <v>44060</v>
      </c>
    </row>
    <row r="42" spans="1:9" x14ac:dyDescent="0.35">
      <c r="A42" s="6" t="s">
        <v>1034</v>
      </c>
      <c r="B42" s="2">
        <v>28990</v>
      </c>
    </row>
    <row r="43" spans="1:9" x14ac:dyDescent="0.35">
      <c r="A43" s="5" t="s">
        <v>1029</v>
      </c>
      <c r="B43" s="2">
        <v>123735</v>
      </c>
    </row>
    <row r="44" spans="1:9" x14ac:dyDescent="0.35">
      <c r="A44" s="6" t="s">
        <v>1035</v>
      </c>
      <c r="B44" s="2">
        <v>33870</v>
      </c>
    </row>
    <row r="45" spans="1:9" x14ac:dyDescent="0.35">
      <c r="A45" s="6" t="s">
        <v>1036</v>
      </c>
      <c r="B45" s="2">
        <v>53150</v>
      </c>
    </row>
    <row r="46" spans="1:9" x14ac:dyDescent="0.35">
      <c r="A46" s="6" t="s">
        <v>1037</v>
      </c>
      <c r="B46" s="2">
        <v>36715</v>
      </c>
    </row>
    <row r="47" spans="1:9" x14ac:dyDescent="0.35">
      <c r="A47" s="5" t="s">
        <v>1030</v>
      </c>
      <c r="B47" s="2">
        <v>96045</v>
      </c>
    </row>
    <row r="48" spans="1:9" x14ac:dyDescent="0.35">
      <c r="A48" s="6" t="s">
        <v>1038</v>
      </c>
      <c r="B48" s="2">
        <v>35465</v>
      </c>
    </row>
    <row r="49" spans="1:2" x14ac:dyDescent="0.35">
      <c r="A49" s="6" t="s">
        <v>1039</v>
      </c>
      <c r="B49" s="2">
        <v>36960</v>
      </c>
    </row>
    <row r="50" spans="1:2" x14ac:dyDescent="0.35">
      <c r="A50" s="6" t="s">
        <v>1040</v>
      </c>
      <c r="B50" s="2">
        <v>23620</v>
      </c>
    </row>
    <row r="51" spans="1:2" x14ac:dyDescent="0.35">
      <c r="A51" s="5" t="s">
        <v>1031</v>
      </c>
      <c r="B51" s="2">
        <v>126190</v>
      </c>
    </row>
    <row r="52" spans="1:2" x14ac:dyDescent="0.35">
      <c r="A52" s="6" t="s">
        <v>1041</v>
      </c>
      <c r="B52" s="2">
        <v>46580</v>
      </c>
    </row>
    <row r="53" spans="1:2" x14ac:dyDescent="0.35">
      <c r="A53" s="6" t="s">
        <v>1042</v>
      </c>
      <c r="B53" s="2">
        <v>34920</v>
      </c>
    </row>
    <row r="54" spans="1:2" x14ac:dyDescent="0.35">
      <c r="A54" s="6" t="s">
        <v>1043</v>
      </c>
      <c r="B54" s="2">
        <v>44690</v>
      </c>
    </row>
    <row r="55" spans="1:2" x14ac:dyDescent="0.35">
      <c r="A55" s="4" t="s">
        <v>1027</v>
      </c>
      <c r="B55" s="2">
        <v>1530</v>
      </c>
    </row>
    <row r="56" spans="1:2" x14ac:dyDescent="0.35">
      <c r="A56" s="5" t="s">
        <v>1028</v>
      </c>
      <c r="B56" s="2">
        <v>1530</v>
      </c>
    </row>
    <row r="57" spans="1:2" x14ac:dyDescent="0.35">
      <c r="A57" s="6" t="s">
        <v>1032</v>
      </c>
      <c r="B57" s="2">
        <v>1530</v>
      </c>
    </row>
    <row r="58" spans="1:2" x14ac:dyDescent="0.35">
      <c r="A58" s="4" t="s">
        <v>1016</v>
      </c>
      <c r="B58" s="2">
        <v>456000</v>
      </c>
    </row>
    <row r="62" spans="1:2" x14ac:dyDescent="0.35">
      <c r="A62" t="s">
        <v>1044</v>
      </c>
    </row>
    <row r="63" spans="1:2" x14ac:dyDescent="0.35">
      <c r="A63" s="3" t="s">
        <v>5</v>
      </c>
      <c r="B63" t="s">
        <v>1046</v>
      </c>
    </row>
    <row r="64" spans="1:2" x14ac:dyDescent="0.35">
      <c r="A64" s="4" t="s">
        <v>11</v>
      </c>
      <c r="B64">
        <v>771</v>
      </c>
    </row>
    <row r="65" spans="1:2" x14ac:dyDescent="0.35">
      <c r="A65" s="4" t="s">
        <v>14</v>
      </c>
      <c r="B65">
        <v>894</v>
      </c>
    </row>
    <row r="66" spans="1:2" x14ac:dyDescent="0.35">
      <c r="A66" s="4" t="s">
        <v>16</v>
      </c>
      <c r="B66">
        <v>849</v>
      </c>
    </row>
    <row r="67" spans="1:2" x14ac:dyDescent="0.35">
      <c r="A67" s="4" t="s">
        <v>1016</v>
      </c>
      <c r="B67">
        <v>2514</v>
      </c>
    </row>
    <row r="78" spans="1:2" x14ac:dyDescent="0.35">
      <c r="A78" t="s">
        <v>1047</v>
      </c>
    </row>
    <row r="80" spans="1:2" x14ac:dyDescent="0.35">
      <c r="A80" s="3" t="s">
        <v>1049</v>
      </c>
      <c r="B80" s="3" t="s">
        <v>1048</v>
      </c>
    </row>
    <row r="81" spans="1:5" x14ac:dyDescent="0.35">
      <c r="A81" s="3" t="s">
        <v>1014</v>
      </c>
      <c r="B81" t="s">
        <v>11</v>
      </c>
      <c r="C81" t="s">
        <v>14</v>
      </c>
      <c r="D81" t="s">
        <v>16</v>
      </c>
      <c r="E81" t="s">
        <v>1016</v>
      </c>
    </row>
    <row r="82" spans="1:5" x14ac:dyDescent="0.35">
      <c r="A82" s="4" t="s">
        <v>1017</v>
      </c>
      <c r="B82" s="2">
        <v>492.28346456692913</v>
      </c>
      <c r="C82" s="2">
        <v>531.88</v>
      </c>
      <c r="D82" s="2">
        <v>442.82786885245901</v>
      </c>
      <c r="E82" s="2">
        <v>489.38502673796791</v>
      </c>
    </row>
    <row r="83" spans="1:5" x14ac:dyDescent="0.35">
      <c r="A83" s="4" t="s">
        <v>1018</v>
      </c>
      <c r="B83" s="2">
        <v>533.804347826087</v>
      </c>
      <c r="C83" s="2">
        <v>380.30973451327435</v>
      </c>
      <c r="D83" s="2">
        <v>440.50925925925924</v>
      </c>
      <c r="E83" s="2">
        <v>446.19808306709263</v>
      </c>
    </row>
    <row r="84" spans="1:5" x14ac:dyDescent="0.35">
      <c r="A84" s="4" t="s">
        <v>1019</v>
      </c>
      <c r="B84" s="2">
        <v>362.32954545454544</v>
      </c>
      <c r="C84" s="2">
        <v>408.14159292035396</v>
      </c>
      <c r="D84" s="2">
        <v>493.79464285714283</v>
      </c>
      <c r="E84" s="2">
        <v>425.91054313099039</v>
      </c>
    </row>
    <row r="85" spans="1:5" x14ac:dyDescent="0.35">
      <c r="A85" s="4" t="s">
        <v>1016</v>
      </c>
      <c r="B85" s="2">
        <v>467.47557003257327</v>
      </c>
      <c r="C85" s="2">
        <v>443.24786324786322</v>
      </c>
      <c r="D85" s="2">
        <v>458.78654970760232</v>
      </c>
      <c r="E85" s="2">
        <v>456</v>
      </c>
    </row>
    <row r="88" spans="1:5" x14ac:dyDescent="0.35">
      <c r="A88" s="4"/>
    </row>
    <row r="104" spans="1:5" x14ac:dyDescent="0.35">
      <c r="A104" t="s">
        <v>1050</v>
      </c>
    </row>
    <row r="106" spans="1:5" x14ac:dyDescent="0.35">
      <c r="A106" s="3" t="s">
        <v>1045</v>
      </c>
      <c r="B106" s="3" t="s">
        <v>1048</v>
      </c>
    </row>
    <row r="107" spans="1:5" x14ac:dyDescent="0.35">
      <c r="A107" s="3" t="s">
        <v>1014</v>
      </c>
      <c r="B107" t="s">
        <v>11</v>
      </c>
      <c r="C107" t="s">
        <v>14</v>
      </c>
      <c r="D107" t="s">
        <v>16</v>
      </c>
      <c r="E107" t="s">
        <v>1016</v>
      </c>
    </row>
    <row r="108" spans="1:5" x14ac:dyDescent="0.35">
      <c r="A108" s="4" t="s">
        <v>1026</v>
      </c>
      <c r="B108">
        <v>768</v>
      </c>
      <c r="C108">
        <v>894</v>
      </c>
      <c r="D108">
        <v>848</v>
      </c>
      <c r="E108">
        <v>2510</v>
      </c>
    </row>
    <row r="109" spans="1:5" x14ac:dyDescent="0.35">
      <c r="A109" s="5" t="s">
        <v>1028</v>
      </c>
      <c r="B109">
        <v>178</v>
      </c>
      <c r="C109">
        <v>258</v>
      </c>
      <c r="D109">
        <v>167</v>
      </c>
      <c r="E109">
        <v>603</v>
      </c>
    </row>
    <row r="110" spans="1:5" x14ac:dyDescent="0.35">
      <c r="A110" s="5" t="s">
        <v>1029</v>
      </c>
      <c r="B110">
        <v>200</v>
      </c>
      <c r="C110">
        <v>257</v>
      </c>
      <c r="D110">
        <v>213</v>
      </c>
      <c r="E110">
        <v>670</v>
      </c>
    </row>
    <row r="111" spans="1:5" x14ac:dyDescent="0.35">
      <c r="A111" s="5" t="s">
        <v>1030</v>
      </c>
      <c r="B111">
        <v>182</v>
      </c>
      <c r="C111">
        <v>183</v>
      </c>
      <c r="D111">
        <v>208</v>
      </c>
      <c r="E111">
        <v>573</v>
      </c>
    </row>
    <row r="112" spans="1:5" x14ac:dyDescent="0.35">
      <c r="A112" s="5" t="s">
        <v>1031</v>
      </c>
      <c r="B112">
        <v>208</v>
      </c>
      <c r="C112">
        <v>196</v>
      </c>
      <c r="D112">
        <v>260</v>
      </c>
      <c r="E112">
        <v>664</v>
      </c>
    </row>
    <row r="113" spans="1:5" x14ac:dyDescent="0.35">
      <c r="A113" s="4" t="s">
        <v>1027</v>
      </c>
      <c r="B113">
        <v>3</v>
      </c>
      <c r="D113">
        <v>1</v>
      </c>
      <c r="E113">
        <v>4</v>
      </c>
    </row>
    <row r="114" spans="1:5" x14ac:dyDescent="0.35">
      <c r="A114" s="5" t="s">
        <v>1028</v>
      </c>
      <c r="B114">
        <v>3</v>
      </c>
      <c r="D114">
        <v>1</v>
      </c>
      <c r="E114">
        <v>4</v>
      </c>
    </row>
    <row r="115" spans="1:5" x14ac:dyDescent="0.35">
      <c r="A115" s="4" t="s">
        <v>1016</v>
      </c>
      <c r="B115">
        <v>771</v>
      </c>
      <c r="C115">
        <v>894</v>
      </c>
      <c r="D115">
        <v>849</v>
      </c>
      <c r="E115">
        <v>2514</v>
      </c>
    </row>
    <row r="122" spans="1:5" x14ac:dyDescent="0.35">
      <c r="A122" t="s">
        <v>1051</v>
      </c>
    </row>
    <row r="124" spans="1:5" x14ac:dyDescent="0.35">
      <c r="A124" s="3" t="s">
        <v>1020</v>
      </c>
      <c r="B124" s="3" t="s">
        <v>1048</v>
      </c>
    </row>
    <row r="125" spans="1:5" x14ac:dyDescent="0.35">
      <c r="A125" s="3" t="s">
        <v>6</v>
      </c>
      <c r="B125" t="s">
        <v>11</v>
      </c>
      <c r="C125" t="s">
        <v>14</v>
      </c>
      <c r="D125" t="s">
        <v>16</v>
      </c>
      <c r="E125" t="s">
        <v>1016</v>
      </c>
    </row>
    <row r="126" spans="1:5" x14ac:dyDescent="0.35">
      <c r="A126" s="4" t="s">
        <v>1052</v>
      </c>
      <c r="B126" s="2">
        <v>11730</v>
      </c>
      <c r="C126" s="2">
        <v>16115</v>
      </c>
      <c r="D126" s="2">
        <v>16960</v>
      </c>
      <c r="E126" s="2">
        <v>44805</v>
      </c>
    </row>
    <row r="127" spans="1:5" x14ac:dyDescent="0.35">
      <c r="A127" s="4" t="s">
        <v>1053</v>
      </c>
      <c r="B127" s="2">
        <v>29930</v>
      </c>
      <c r="C127" s="2">
        <v>24670</v>
      </c>
      <c r="D127" s="2">
        <v>26450</v>
      </c>
      <c r="E127" s="2">
        <v>81050</v>
      </c>
    </row>
    <row r="128" spans="1:5" x14ac:dyDescent="0.35">
      <c r="A128" s="4" t="s">
        <v>1054</v>
      </c>
      <c r="B128" s="2">
        <v>52155</v>
      </c>
      <c r="C128" s="2">
        <v>48315</v>
      </c>
      <c r="D128" s="2">
        <v>43815</v>
      </c>
      <c r="E128" s="2">
        <v>144285</v>
      </c>
    </row>
    <row r="129" spans="1:5" x14ac:dyDescent="0.35">
      <c r="A129" s="4" t="s">
        <v>1055</v>
      </c>
      <c r="B129" s="2">
        <v>49700</v>
      </c>
      <c r="C129" s="2">
        <v>66480</v>
      </c>
      <c r="D129" s="2">
        <v>69680</v>
      </c>
      <c r="E129" s="2">
        <v>185860</v>
      </c>
    </row>
    <row r="130" spans="1:5" x14ac:dyDescent="0.35">
      <c r="A130" s="4" t="s">
        <v>1016</v>
      </c>
      <c r="B130" s="2">
        <v>143515</v>
      </c>
      <c r="C130" s="2">
        <v>155580</v>
      </c>
      <c r="D130" s="2">
        <v>156905</v>
      </c>
      <c r="E130" s="2">
        <v>456000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C238-7B1E-4FA4-9592-5B8121290534}">
  <dimension ref="A1"/>
  <sheetViews>
    <sheetView showGridLines="0" showRowColHeaders="0"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0F8F-3626-48F6-B20C-5D54AA54FB38}">
  <dimension ref="A1"/>
  <sheetViews>
    <sheetView showGridLines="0" showRowColHeaders="0" workbookViewId="0">
      <selection activeCell="V30" sqref="V30"/>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retail_sales_dataset</vt:lpstr>
      <vt:lpstr>Cleaned Data</vt:lpstr>
      <vt:lpstr>Pivot Engine</vt:lpstr>
      <vt:lpstr>Introduction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Mowaninuola Umarudeen</cp:lastModifiedBy>
  <dcterms:created xsi:type="dcterms:W3CDTF">2025-12-05T13:08:16Z</dcterms:created>
  <dcterms:modified xsi:type="dcterms:W3CDTF">2026-09-26T17:58:51Z</dcterms:modified>
</cp:coreProperties>
</file>