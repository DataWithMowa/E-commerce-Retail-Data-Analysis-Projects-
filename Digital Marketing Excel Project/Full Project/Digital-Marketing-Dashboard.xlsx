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HomePC\Desktop\QUANTUM ANALYTICS\EXCEL PROJECTS\DIGITAL MARKETING EXCEL PROJECT\"/>
    </mc:Choice>
  </mc:AlternateContent>
  <xr:revisionPtr revIDLastSave="0" documentId="13_ncr:1_{87CEB316-3766-4F18-B0C7-2666EB5323C3}" xr6:coauthVersionLast="47" xr6:coauthVersionMax="47" xr10:uidLastSave="{00000000-0000-0000-0000-000000000000}"/>
  <bookViews>
    <workbookView xWindow="-110" yWindow="-110" windowWidth="19420" windowHeight="10300" tabRatio="896" activeTab="4" xr2:uid="{5DF1AF45-5E4C-44A3-BF0E-B60CA60645B8}"/>
  </bookViews>
  <sheets>
    <sheet name="Marketing" sheetId="1" r:id="rId1"/>
    <sheet name="Sheet1" sheetId="14" r:id="rId2"/>
    <sheet name="Pivot Engine" sheetId="13" r:id="rId3"/>
    <sheet name="Introduction" sheetId="16" r:id="rId4"/>
    <sheet name="Dashboard" sheetId="15" r:id="rId5"/>
  </sheets>
  <definedNames>
    <definedName name="Slicer_Campaign_name">#N/A</definedName>
    <definedName name="Slicer_DAY_TYPE">#N/A</definedName>
    <definedName name="Slicer_GEO">#N/A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2" i="1" l="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L310"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I310" i="1"/>
  <c r="M310" i="1"/>
  <c r="B94" i="13" s="1"/>
  <c r="R2" i="1"/>
  <c r="S2" i="1"/>
  <c r="T2" i="1"/>
  <c r="U2" i="1"/>
  <c r="V2" i="1"/>
  <c r="W2" i="1"/>
  <c r="Y2" i="1"/>
  <c r="R3" i="1"/>
  <c r="S3" i="1"/>
  <c r="T3" i="1"/>
  <c r="U3" i="1"/>
  <c r="V3" i="1"/>
  <c r="W3" i="1"/>
  <c r="Y3" i="1"/>
  <c r="R4" i="1"/>
  <c r="S4" i="1"/>
  <c r="T4" i="1"/>
  <c r="U4" i="1"/>
  <c r="V4" i="1"/>
  <c r="W4" i="1"/>
  <c r="Y4" i="1"/>
  <c r="R5" i="1"/>
  <c r="S5" i="1"/>
  <c r="T5" i="1"/>
  <c r="U5" i="1"/>
  <c r="V5" i="1"/>
  <c r="W5" i="1"/>
  <c r="Y5" i="1"/>
  <c r="R6" i="1"/>
  <c r="S6" i="1"/>
  <c r="T6" i="1"/>
  <c r="U6" i="1"/>
  <c r="V6" i="1"/>
  <c r="W6" i="1"/>
  <c r="Y6" i="1"/>
  <c r="R7" i="1"/>
  <c r="S7" i="1"/>
  <c r="T7" i="1"/>
  <c r="U7" i="1"/>
  <c r="V7" i="1"/>
  <c r="W7" i="1"/>
  <c r="Y7" i="1"/>
  <c r="R8" i="1"/>
  <c r="S8" i="1"/>
  <c r="T8" i="1"/>
  <c r="U8" i="1"/>
  <c r="V8" i="1"/>
  <c r="W8" i="1"/>
  <c r="Y8" i="1"/>
  <c r="R9" i="1"/>
  <c r="S9" i="1"/>
  <c r="T9" i="1"/>
  <c r="U9" i="1"/>
  <c r="V9" i="1"/>
  <c r="W9" i="1"/>
  <c r="Y9" i="1"/>
  <c r="R10" i="1"/>
  <c r="S10" i="1"/>
  <c r="T10" i="1"/>
  <c r="U10" i="1"/>
  <c r="V10" i="1"/>
  <c r="W10" i="1"/>
  <c r="Y10" i="1"/>
  <c r="R11" i="1"/>
  <c r="S11" i="1"/>
  <c r="T11" i="1"/>
  <c r="U11" i="1"/>
  <c r="V11" i="1"/>
  <c r="W11" i="1"/>
  <c r="Y11" i="1"/>
  <c r="R12" i="1"/>
  <c r="S12" i="1"/>
  <c r="T12" i="1"/>
  <c r="U12" i="1"/>
  <c r="V12" i="1"/>
  <c r="W12" i="1"/>
  <c r="Y12" i="1"/>
  <c r="R13" i="1"/>
  <c r="S13" i="1"/>
  <c r="T13" i="1"/>
  <c r="U13" i="1"/>
  <c r="V13" i="1"/>
  <c r="W13" i="1"/>
  <c r="Y13" i="1"/>
  <c r="R14" i="1"/>
  <c r="S14" i="1"/>
  <c r="T14" i="1"/>
  <c r="U14" i="1"/>
  <c r="V14" i="1"/>
  <c r="W14" i="1"/>
  <c r="Y14" i="1"/>
  <c r="R15" i="1"/>
  <c r="S15" i="1"/>
  <c r="T15" i="1"/>
  <c r="U15" i="1"/>
  <c r="V15" i="1"/>
  <c r="W15" i="1"/>
  <c r="Y15" i="1"/>
  <c r="R16" i="1"/>
  <c r="S16" i="1"/>
  <c r="T16" i="1"/>
  <c r="U16" i="1"/>
  <c r="V16" i="1"/>
  <c r="W16" i="1"/>
  <c r="Y16" i="1"/>
  <c r="R17" i="1"/>
  <c r="S17" i="1"/>
  <c r="T17" i="1"/>
  <c r="U17" i="1"/>
  <c r="V17" i="1"/>
  <c r="W17" i="1"/>
  <c r="Y17" i="1"/>
  <c r="R18" i="1"/>
  <c r="S18" i="1"/>
  <c r="T18" i="1"/>
  <c r="U18" i="1"/>
  <c r="V18" i="1"/>
  <c r="W18" i="1"/>
  <c r="Y18" i="1"/>
  <c r="R19" i="1"/>
  <c r="S19" i="1"/>
  <c r="T19" i="1"/>
  <c r="U19" i="1"/>
  <c r="V19" i="1"/>
  <c r="W19" i="1"/>
  <c r="Y19" i="1"/>
  <c r="R20" i="1"/>
  <c r="S20" i="1"/>
  <c r="T20" i="1"/>
  <c r="U20" i="1"/>
  <c r="V20" i="1"/>
  <c r="W20" i="1"/>
  <c r="Y20" i="1"/>
  <c r="R21" i="1"/>
  <c r="S21" i="1"/>
  <c r="T21" i="1"/>
  <c r="U21" i="1"/>
  <c r="V21" i="1"/>
  <c r="W21" i="1"/>
  <c r="Y21" i="1"/>
  <c r="R22" i="1"/>
  <c r="S22" i="1"/>
  <c r="T22" i="1"/>
  <c r="U22" i="1"/>
  <c r="V22" i="1"/>
  <c r="W22" i="1"/>
  <c r="Y22" i="1"/>
  <c r="R23" i="1"/>
  <c r="S23" i="1"/>
  <c r="T23" i="1"/>
  <c r="U23" i="1"/>
  <c r="V23" i="1"/>
  <c r="W23" i="1"/>
  <c r="Y23" i="1"/>
  <c r="R24" i="1"/>
  <c r="S24" i="1"/>
  <c r="T24" i="1"/>
  <c r="U24" i="1"/>
  <c r="V24" i="1"/>
  <c r="W24" i="1"/>
  <c r="Y24" i="1"/>
  <c r="R25" i="1"/>
  <c r="S25" i="1"/>
  <c r="T25" i="1"/>
  <c r="U25" i="1"/>
  <c r="V25" i="1"/>
  <c r="W25" i="1"/>
  <c r="Y25" i="1"/>
  <c r="R26" i="1"/>
  <c r="S26" i="1"/>
  <c r="T26" i="1"/>
  <c r="U26" i="1"/>
  <c r="V26" i="1"/>
  <c r="W26" i="1"/>
  <c r="Y26" i="1"/>
  <c r="R27" i="1"/>
  <c r="S27" i="1"/>
  <c r="T27" i="1"/>
  <c r="U27" i="1"/>
  <c r="V27" i="1"/>
  <c r="W27" i="1"/>
  <c r="Y27" i="1"/>
  <c r="R28" i="1"/>
  <c r="S28" i="1"/>
  <c r="T28" i="1"/>
  <c r="U28" i="1"/>
  <c r="V28" i="1"/>
  <c r="W28" i="1"/>
  <c r="Y28" i="1"/>
  <c r="R29" i="1"/>
  <c r="S29" i="1"/>
  <c r="T29" i="1"/>
  <c r="U29" i="1"/>
  <c r="V29" i="1"/>
  <c r="W29" i="1"/>
  <c r="Y29" i="1"/>
  <c r="R30" i="1"/>
  <c r="S30" i="1"/>
  <c r="T30" i="1"/>
  <c r="U30" i="1"/>
  <c r="V30" i="1"/>
  <c r="W30" i="1"/>
  <c r="Y30" i="1"/>
  <c r="R31" i="1"/>
  <c r="S31" i="1"/>
  <c r="T31" i="1"/>
  <c r="U31" i="1"/>
  <c r="V31" i="1"/>
  <c r="W31" i="1"/>
  <c r="Y31" i="1"/>
  <c r="R32" i="1"/>
  <c r="S32" i="1"/>
  <c r="T32" i="1"/>
  <c r="U32" i="1"/>
  <c r="V32" i="1"/>
  <c r="W32" i="1"/>
  <c r="Y32" i="1"/>
  <c r="R33" i="1"/>
  <c r="S33" i="1"/>
  <c r="T33" i="1"/>
  <c r="U33" i="1"/>
  <c r="V33" i="1"/>
  <c r="W33" i="1"/>
  <c r="Y33" i="1"/>
  <c r="R34" i="1"/>
  <c r="S34" i="1"/>
  <c r="T34" i="1"/>
  <c r="U34" i="1"/>
  <c r="V34" i="1"/>
  <c r="W34" i="1"/>
  <c r="Y34" i="1"/>
  <c r="R35" i="1"/>
  <c r="S35" i="1"/>
  <c r="T35" i="1"/>
  <c r="U35" i="1"/>
  <c r="V35" i="1"/>
  <c r="W35" i="1"/>
  <c r="Y35" i="1"/>
  <c r="R36" i="1"/>
  <c r="S36" i="1"/>
  <c r="T36" i="1"/>
  <c r="U36" i="1"/>
  <c r="V36" i="1"/>
  <c r="W36" i="1"/>
  <c r="Y36" i="1"/>
  <c r="R37" i="1"/>
  <c r="S37" i="1"/>
  <c r="T37" i="1"/>
  <c r="U37" i="1"/>
  <c r="V37" i="1"/>
  <c r="W37" i="1"/>
  <c r="Y37" i="1"/>
  <c r="R38" i="1"/>
  <c r="S38" i="1"/>
  <c r="T38" i="1"/>
  <c r="U38" i="1"/>
  <c r="V38" i="1"/>
  <c r="W38" i="1"/>
  <c r="Y38" i="1"/>
  <c r="R39" i="1"/>
  <c r="S39" i="1"/>
  <c r="T39" i="1"/>
  <c r="U39" i="1"/>
  <c r="V39" i="1"/>
  <c r="W39" i="1"/>
  <c r="Y39" i="1"/>
  <c r="R40" i="1"/>
  <c r="S40" i="1"/>
  <c r="T40" i="1"/>
  <c r="U40" i="1"/>
  <c r="V40" i="1"/>
  <c r="W40" i="1"/>
  <c r="Y40" i="1"/>
  <c r="R41" i="1"/>
  <c r="S41" i="1"/>
  <c r="T41" i="1"/>
  <c r="U41" i="1"/>
  <c r="V41" i="1"/>
  <c r="W41" i="1"/>
  <c r="Y41" i="1"/>
  <c r="R42" i="1"/>
  <c r="S42" i="1"/>
  <c r="T42" i="1"/>
  <c r="U42" i="1"/>
  <c r="V42" i="1"/>
  <c r="W42" i="1"/>
  <c r="Y42" i="1"/>
  <c r="R43" i="1"/>
  <c r="S43" i="1"/>
  <c r="T43" i="1"/>
  <c r="U43" i="1"/>
  <c r="V43" i="1"/>
  <c r="W43" i="1"/>
  <c r="Y43" i="1"/>
  <c r="R44" i="1"/>
  <c r="S44" i="1"/>
  <c r="T44" i="1"/>
  <c r="U44" i="1"/>
  <c r="V44" i="1"/>
  <c r="W44" i="1"/>
  <c r="Y44" i="1"/>
  <c r="R45" i="1"/>
  <c r="S45" i="1"/>
  <c r="T45" i="1"/>
  <c r="U45" i="1"/>
  <c r="V45" i="1"/>
  <c r="W45" i="1"/>
  <c r="Y45" i="1"/>
  <c r="R46" i="1"/>
  <c r="S46" i="1"/>
  <c r="T46" i="1"/>
  <c r="U46" i="1"/>
  <c r="V46" i="1"/>
  <c r="W46" i="1"/>
  <c r="Y46" i="1"/>
  <c r="R47" i="1"/>
  <c r="S47" i="1"/>
  <c r="T47" i="1"/>
  <c r="U47" i="1"/>
  <c r="V47" i="1"/>
  <c r="W47" i="1"/>
  <c r="Y47" i="1"/>
  <c r="R48" i="1"/>
  <c r="S48" i="1"/>
  <c r="T48" i="1"/>
  <c r="U48" i="1"/>
  <c r="V48" i="1"/>
  <c r="W48" i="1"/>
  <c r="Y48" i="1"/>
  <c r="R49" i="1"/>
  <c r="S49" i="1"/>
  <c r="T49" i="1"/>
  <c r="U49" i="1"/>
  <c r="V49" i="1"/>
  <c r="W49" i="1"/>
  <c r="Y49" i="1"/>
  <c r="R50" i="1"/>
  <c r="S50" i="1"/>
  <c r="T50" i="1"/>
  <c r="U50" i="1"/>
  <c r="V50" i="1"/>
  <c r="W50" i="1"/>
  <c r="Y50" i="1"/>
  <c r="R51" i="1"/>
  <c r="S51" i="1"/>
  <c r="T51" i="1"/>
  <c r="U51" i="1"/>
  <c r="V51" i="1"/>
  <c r="W51" i="1"/>
  <c r="Y51" i="1"/>
  <c r="R52" i="1"/>
  <c r="S52" i="1"/>
  <c r="T52" i="1"/>
  <c r="U52" i="1"/>
  <c r="V52" i="1"/>
  <c r="W52" i="1"/>
  <c r="Y52" i="1"/>
  <c r="R53" i="1"/>
  <c r="S53" i="1"/>
  <c r="T53" i="1"/>
  <c r="U53" i="1"/>
  <c r="V53" i="1"/>
  <c r="W53" i="1"/>
  <c r="Y53" i="1"/>
  <c r="R54" i="1"/>
  <c r="S54" i="1"/>
  <c r="T54" i="1"/>
  <c r="U54" i="1"/>
  <c r="V54" i="1"/>
  <c r="W54" i="1"/>
  <c r="Y54" i="1"/>
  <c r="R55" i="1"/>
  <c r="S55" i="1"/>
  <c r="T55" i="1"/>
  <c r="U55" i="1"/>
  <c r="V55" i="1"/>
  <c r="W55" i="1"/>
  <c r="Y55" i="1"/>
  <c r="R56" i="1"/>
  <c r="S56" i="1"/>
  <c r="T56" i="1"/>
  <c r="U56" i="1"/>
  <c r="V56" i="1"/>
  <c r="W56" i="1"/>
  <c r="Y56" i="1"/>
  <c r="R57" i="1"/>
  <c r="S57" i="1"/>
  <c r="T57" i="1"/>
  <c r="U57" i="1"/>
  <c r="V57" i="1"/>
  <c r="W57" i="1"/>
  <c r="Y57" i="1"/>
  <c r="R58" i="1"/>
  <c r="S58" i="1"/>
  <c r="T58" i="1"/>
  <c r="U58" i="1"/>
  <c r="V58" i="1"/>
  <c r="W58" i="1"/>
  <c r="Y58" i="1"/>
  <c r="R59" i="1"/>
  <c r="S59" i="1"/>
  <c r="T59" i="1"/>
  <c r="U59" i="1"/>
  <c r="V59" i="1"/>
  <c r="W59" i="1"/>
  <c r="Y59" i="1"/>
  <c r="R60" i="1"/>
  <c r="S60" i="1"/>
  <c r="T60" i="1"/>
  <c r="U60" i="1"/>
  <c r="V60" i="1"/>
  <c r="W60" i="1"/>
  <c r="Y60" i="1"/>
  <c r="R61" i="1"/>
  <c r="S61" i="1"/>
  <c r="T61" i="1"/>
  <c r="U61" i="1"/>
  <c r="V61" i="1"/>
  <c r="W61" i="1"/>
  <c r="Y61" i="1"/>
  <c r="R62" i="1"/>
  <c r="S62" i="1"/>
  <c r="T62" i="1"/>
  <c r="U62" i="1"/>
  <c r="V62" i="1"/>
  <c r="W62" i="1"/>
  <c r="Y62" i="1"/>
  <c r="R63" i="1"/>
  <c r="S63" i="1"/>
  <c r="T63" i="1"/>
  <c r="U63" i="1"/>
  <c r="V63" i="1"/>
  <c r="W63" i="1"/>
  <c r="Y63" i="1"/>
  <c r="R64" i="1"/>
  <c r="S64" i="1"/>
  <c r="T64" i="1"/>
  <c r="U64" i="1"/>
  <c r="V64" i="1"/>
  <c r="W64" i="1"/>
  <c r="Y64" i="1"/>
  <c r="R65" i="1"/>
  <c r="S65" i="1"/>
  <c r="T65" i="1"/>
  <c r="U65" i="1"/>
  <c r="V65" i="1"/>
  <c r="W65" i="1"/>
  <c r="Y65" i="1"/>
  <c r="R66" i="1"/>
  <c r="S66" i="1"/>
  <c r="T66" i="1"/>
  <c r="U66" i="1"/>
  <c r="V66" i="1"/>
  <c r="W66" i="1"/>
  <c r="Y66" i="1"/>
  <c r="R67" i="1"/>
  <c r="S67" i="1"/>
  <c r="T67" i="1"/>
  <c r="U67" i="1"/>
  <c r="V67" i="1"/>
  <c r="W67" i="1"/>
  <c r="Y67" i="1"/>
  <c r="R68" i="1"/>
  <c r="S68" i="1"/>
  <c r="T68" i="1"/>
  <c r="U68" i="1"/>
  <c r="V68" i="1"/>
  <c r="W68" i="1"/>
  <c r="Y68" i="1"/>
  <c r="R69" i="1"/>
  <c r="S69" i="1"/>
  <c r="T69" i="1"/>
  <c r="U69" i="1"/>
  <c r="V69" i="1"/>
  <c r="W69" i="1"/>
  <c r="Y69" i="1"/>
  <c r="R70" i="1"/>
  <c r="S70" i="1"/>
  <c r="T70" i="1"/>
  <c r="U70" i="1"/>
  <c r="V70" i="1"/>
  <c r="W70" i="1"/>
  <c r="Y70" i="1"/>
  <c r="R71" i="1"/>
  <c r="S71" i="1"/>
  <c r="T71" i="1"/>
  <c r="U71" i="1"/>
  <c r="V71" i="1"/>
  <c r="W71" i="1"/>
  <c r="Y71" i="1"/>
  <c r="R72" i="1"/>
  <c r="S72" i="1"/>
  <c r="T72" i="1"/>
  <c r="U72" i="1"/>
  <c r="V72" i="1"/>
  <c r="W72" i="1"/>
  <c r="Y72" i="1"/>
  <c r="R73" i="1"/>
  <c r="S73" i="1"/>
  <c r="T73" i="1"/>
  <c r="U73" i="1"/>
  <c r="V73" i="1"/>
  <c r="W73" i="1"/>
  <c r="Y73" i="1"/>
  <c r="R74" i="1"/>
  <c r="S74" i="1"/>
  <c r="T74" i="1"/>
  <c r="U74" i="1"/>
  <c r="V74" i="1"/>
  <c r="W74" i="1"/>
  <c r="Y74" i="1"/>
  <c r="R75" i="1"/>
  <c r="S75" i="1"/>
  <c r="T75" i="1"/>
  <c r="U75" i="1"/>
  <c r="V75" i="1"/>
  <c r="W75" i="1"/>
  <c r="Y75" i="1"/>
  <c r="R76" i="1"/>
  <c r="S76" i="1"/>
  <c r="T76" i="1"/>
  <c r="U76" i="1"/>
  <c r="V76" i="1"/>
  <c r="W76" i="1"/>
  <c r="Y76" i="1"/>
  <c r="R77" i="1"/>
  <c r="S77" i="1"/>
  <c r="T77" i="1"/>
  <c r="U77" i="1"/>
  <c r="V77" i="1"/>
  <c r="W77" i="1"/>
  <c r="Y77" i="1"/>
  <c r="R78" i="1"/>
  <c r="S78" i="1"/>
  <c r="T78" i="1"/>
  <c r="U78" i="1"/>
  <c r="V78" i="1"/>
  <c r="W78" i="1"/>
  <c r="Y78" i="1"/>
  <c r="R79" i="1"/>
  <c r="S79" i="1"/>
  <c r="T79" i="1"/>
  <c r="U79" i="1"/>
  <c r="V79" i="1"/>
  <c r="W79" i="1"/>
  <c r="Y79" i="1"/>
  <c r="R80" i="1"/>
  <c r="S80" i="1"/>
  <c r="T80" i="1"/>
  <c r="U80" i="1"/>
  <c r="V80" i="1"/>
  <c r="W80" i="1"/>
  <c r="Y80" i="1"/>
  <c r="R81" i="1"/>
  <c r="S81" i="1"/>
  <c r="T81" i="1"/>
  <c r="U81" i="1"/>
  <c r="V81" i="1"/>
  <c r="W81" i="1"/>
  <c r="Y81" i="1"/>
  <c r="R82" i="1"/>
  <c r="S82" i="1"/>
  <c r="T82" i="1"/>
  <c r="U82" i="1"/>
  <c r="V82" i="1"/>
  <c r="W82" i="1"/>
  <c r="Y82" i="1"/>
  <c r="R83" i="1"/>
  <c r="S83" i="1"/>
  <c r="T83" i="1"/>
  <c r="U83" i="1"/>
  <c r="V83" i="1"/>
  <c r="W83" i="1"/>
  <c r="Y83" i="1"/>
  <c r="R84" i="1"/>
  <c r="S84" i="1"/>
  <c r="T84" i="1"/>
  <c r="U84" i="1"/>
  <c r="V84" i="1"/>
  <c r="W84" i="1"/>
  <c r="Y84" i="1"/>
  <c r="R85" i="1"/>
  <c r="S85" i="1"/>
  <c r="T85" i="1"/>
  <c r="U85" i="1"/>
  <c r="V85" i="1"/>
  <c r="W85" i="1"/>
  <c r="Y85" i="1"/>
  <c r="R86" i="1"/>
  <c r="S86" i="1"/>
  <c r="T86" i="1"/>
  <c r="U86" i="1"/>
  <c r="V86" i="1"/>
  <c r="W86" i="1"/>
  <c r="Y86" i="1"/>
  <c r="R87" i="1"/>
  <c r="S87" i="1"/>
  <c r="T87" i="1"/>
  <c r="U87" i="1"/>
  <c r="V87" i="1"/>
  <c r="W87" i="1"/>
  <c r="Y87" i="1"/>
  <c r="R88" i="1"/>
  <c r="S88" i="1"/>
  <c r="T88" i="1"/>
  <c r="U88" i="1"/>
  <c r="V88" i="1"/>
  <c r="W88" i="1"/>
  <c r="Y88" i="1"/>
  <c r="R89" i="1"/>
  <c r="S89" i="1"/>
  <c r="T89" i="1"/>
  <c r="U89" i="1"/>
  <c r="V89" i="1"/>
  <c r="W89" i="1"/>
  <c r="Y89" i="1"/>
  <c r="R90" i="1"/>
  <c r="S90" i="1"/>
  <c r="T90" i="1"/>
  <c r="U90" i="1"/>
  <c r="V90" i="1"/>
  <c r="W90" i="1"/>
  <c r="Y90" i="1"/>
  <c r="R91" i="1"/>
  <c r="S91" i="1"/>
  <c r="T91" i="1"/>
  <c r="U91" i="1"/>
  <c r="V91" i="1"/>
  <c r="W91" i="1"/>
  <c r="Y91" i="1"/>
  <c r="R92" i="1"/>
  <c r="S92" i="1"/>
  <c r="T92" i="1"/>
  <c r="U92" i="1"/>
  <c r="V92" i="1"/>
  <c r="W92" i="1"/>
  <c r="Y92" i="1"/>
  <c r="R93" i="1"/>
  <c r="S93" i="1"/>
  <c r="T93" i="1"/>
  <c r="U93" i="1"/>
  <c r="V93" i="1"/>
  <c r="W93" i="1"/>
  <c r="Y93" i="1"/>
  <c r="R94" i="1"/>
  <c r="S94" i="1"/>
  <c r="T94" i="1"/>
  <c r="U94" i="1"/>
  <c r="V94" i="1"/>
  <c r="W94" i="1"/>
  <c r="Y94" i="1"/>
  <c r="R95" i="1"/>
  <c r="S95" i="1"/>
  <c r="T95" i="1"/>
  <c r="U95" i="1"/>
  <c r="V95" i="1"/>
  <c r="W95" i="1"/>
  <c r="Y95" i="1"/>
  <c r="R96" i="1"/>
  <c r="S96" i="1"/>
  <c r="T96" i="1"/>
  <c r="U96" i="1"/>
  <c r="V96" i="1"/>
  <c r="W96" i="1"/>
  <c r="Y96" i="1"/>
  <c r="R97" i="1"/>
  <c r="S97" i="1"/>
  <c r="T97" i="1"/>
  <c r="U97" i="1"/>
  <c r="V97" i="1"/>
  <c r="W97" i="1"/>
  <c r="Y97" i="1"/>
  <c r="R98" i="1"/>
  <c r="S98" i="1"/>
  <c r="T98" i="1"/>
  <c r="U98" i="1"/>
  <c r="V98" i="1"/>
  <c r="W98" i="1"/>
  <c r="Y98" i="1"/>
  <c r="R99" i="1"/>
  <c r="S99" i="1"/>
  <c r="T99" i="1"/>
  <c r="U99" i="1"/>
  <c r="V99" i="1"/>
  <c r="W99" i="1"/>
  <c r="Y99" i="1"/>
  <c r="R100" i="1"/>
  <c r="S100" i="1"/>
  <c r="T100" i="1"/>
  <c r="U100" i="1"/>
  <c r="V100" i="1"/>
  <c r="W100" i="1"/>
  <c r="Y100" i="1"/>
  <c r="R101" i="1"/>
  <c r="S101" i="1"/>
  <c r="T101" i="1"/>
  <c r="U101" i="1"/>
  <c r="V101" i="1"/>
  <c r="W101" i="1"/>
  <c r="Y101" i="1"/>
  <c r="R102" i="1"/>
  <c r="S102" i="1"/>
  <c r="T102" i="1"/>
  <c r="U102" i="1"/>
  <c r="V102" i="1"/>
  <c r="W102" i="1"/>
  <c r="Y102" i="1"/>
  <c r="R103" i="1"/>
  <c r="S103" i="1"/>
  <c r="T103" i="1"/>
  <c r="U103" i="1"/>
  <c r="V103" i="1"/>
  <c r="W103" i="1"/>
  <c r="Y103" i="1"/>
  <c r="R104" i="1"/>
  <c r="S104" i="1"/>
  <c r="T104" i="1"/>
  <c r="U104" i="1"/>
  <c r="V104" i="1"/>
  <c r="W104" i="1"/>
  <c r="Y104" i="1"/>
  <c r="R105" i="1"/>
  <c r="S105" i="1"/>
  <c r="T105" i="1"/>
  <c r="U105" i="1"/>
  <c r="V105" i="1"/>
  <c r="W105" i="1"/>
  <c r="Y105" i="1"/>
  <c r="R106" i="1"/>
  <c r="S106" i="1"/>
  <c r="T106" i="1"/>
  <c r="U106" i="1"/>
  <c r="V106" i="1"/>
  <c r="W106" i="1"/>
  <c r="Y106" i="1"/>
  <c r="R107" i="1"/>
  <c r="S107" i="1"/>
  <c r="T107" i="1"/>
  <c r="U107" i="1"/>
  <c r="V107" i="1"/>
  <c r="W107" i="1"/>
  <c r="Y107" i="1"/>
  <c r="R108" i="1"/>
  <c r="S108" i="1"/>
  <c r="T108" i="1"/>
  <c r="U108" i="1"/>
  <c r="V108" i="1"/>
  <c r="W108" i="1"/>
  <c r="Y108" i="1"/>
  <c r="R109" i="1"/>
  <c r="S109" i="1"/>
  <c r="T109" i="1"/>
  <c r="U109" i="1"/>
  <c r="V109" i="1"/>
  <c r="W109" i="1"/>
  <c r="Y109" i="1"/>
  <c r="R110" i="1"/>
  <c r="S110" i="1"/>
  <c r="T110" i="1"/>
  <c r="U110" i="1"/>
  <c r="V110" i="1"/>
  <c r="W110" i="1"/>
  <c r="Y110" i="1"/>
  <c r="R111" i="1"/>
  <c r="S111" i="1"/>
  <c r="T111" i="1"/>
  <c r="U111" i="1"/>
  <c r="V111" i="1"/>
  <c r="W111" i="1"/>
  <c r="Y111" i="1"/>
  <c r="R112" i="1"/>
  <c r="S112" i="1"/>
  <c r="T112" i="1"/>
  <c r="U112" i="1"/>
  <c r="V112" i="1"/>
  <c r="W112" i="1"/>
  <c r="Y112" i="1"/>
  <c r="R113" i="1"/>
  <c r="S113" i="1"/>
  <c r="T113" i="1"/>
  <c r="U113" i="1"/>
  <c r="V113" i="1"/>
  <c r="W113" i="1"/>
  <c r="Y113" i="1"/>
  <c r="R114" i="1"/>
  <c r="S114" i="1"/>
  <c r="T114" i="1"/>
  <c r="U114" i="1"/>
  <c r="V114" i="1"/>
  <c r="W114" i="1"/>
  <c r="Y114" i="1"/>
  <c r="R115" i="1"/>
  <c r="S115" i="1"/>
  <c r="T115" i="1"/>
  <c r="U115" i="1"/>
  <c r="V115" i="1"/>
  <c r="W115" i="1"/>
  <c r="Y115" i="1"/>
  <c r="R116" i="1"/>
  <c r="S116" i="1"/>
  <c r="T116" i="1"/>
  <c r="U116" i="1"/>
  <c r="V116" i="1"/>
  <c r="W116" i="1"/>
  <c r="Y116" i="1"/>
  <c r="R117" i="1"/>
  <c r="S117" i="1"/>
  <c r="T117" i="1"/>
  <c r="U117" i="1"/>
  <c r="V117" i="1"/>
  <c r="W117" i="1"/>
  <c r="Y117" i="1"/>
  <c r="R118" i="1"/>
  <c r="S118" i="1"/>
  <c r="T118" i="1"/>
  <c r="U118" i="1"/>
  <c r="V118" i="1"/>
  <c r="W118" i="1"/>
  <c r="Y118" i="1"/>
  <c r="R119" i="1"/>
  <c r="S119" i="1"/>
  <c r="T119" i="1"/>
  <c r="U119" i="1"/>
  <c r="V119" i="1"/>
  <c r="W119" i="1"/>
  <c r="Y119" i="1"/>
  <c r="R120" i="1"/>
  <c r="S120" i="1"/>
  <c r="T120" i="1"/>
  <c r="U120" i="1"/>
  <c r="V120" i="1"/>
  <c r="W120" i="1"/>
  <c r="Y120" i="1"/>
  <c r="R121" i="1"/>
  <c r="S121" i="1"/>
  <c r="T121" i="1"/>
  <c r="U121" i="1"/>
  <c r="V121" i="1"/>
  <c r="W121" i="1"/>
  <c r="Y121" i="1"/>
  <c r="R122" i="1"/>
  <c r="S122" i="1"/>
  <c r="T122" i="1"/>
  <c r="U122" i="1"/>
  <c r="V122" i="1"/>
  <c r="W122" i="1"/>
  <c r="Y122" i="1"/>
  <c r="R123" i="1"/>
  <c r="S123" i="1"/>
  <c r="T123" i="1"/>
  <c r="U123" i="1"/>
  <c r="V123" i="1"/>
  <c r="W123" i="1"/>
  <c r="Y123" i="1"/>
  <c r="R124" i="1"/>
  <c r="S124" i="1"/>
  <c r="T124" i="1"/>
  <c r="U124" i="1"/>
  <c r="V124" i="1"/>
  <c r="W124" i="1"/>
  <c r="Y124" i="1"/>
  <c r="R125" i="1"/>
  <c r="S125" i="1"/>
  <c r="T125" i="1"/>
  <c r="U125" i="1"/>
  <c r="V125" i="1"/>
  <c r="W125" i="1"/>
  <c r="Y125" i="1"/>
  <c r="R126" i="1"/>
  <c r="S126" i="1"/>
  <c r="T126" i="1"/>
  <c r="U126" i="1"/>
  <c r="V126" i="1"/>
  <c r="W126" i="1"/>
  <c r="Y126" i="1"/>
  <c r="R127" i="1"/>
  <c r="S127" i="1"/>
  <c r="T127" i="1"/>
  <c r="U127" i="1"/>
  <c r="V127" i="1"/>
  <c r="W127" i="1"/>
  <c r="Y127" i="1"/>
  <c r="R128" i="1"/>
  <c r="S128" i="1"/>
  <c r="T128" i="1"/>
  <c r="U128" i="1"/>
  <c r="V128" i="1"/>
  <c r="W128" i="1"/>
  <c r="Y128" i="1"/>
  <c r="R129" i="1"/>
  <c r="S129" i="1"/>
  <c r="T129" i="1"/>
  <c r="U129" i="1"/>
  <c r="V129" i="1"/>
  <c r="W129" i="1"/>
  <c r="Y129" i="1"/>
  <c r="R130" i="1"/>
  <c r="S130" i="1"/>
  <c r="T130" i="1"/>
  <c r="U130" i="1"/>
  <c r="V130" i="1"/>
  <c r="W130" i="1"/>
  <c r="Y130" i="1"/>
  <c r="R131" i="1"/>
  <c r="S131" i="1"/>
  <c r="T131" i="1"/>
  <c r="U131" i="1"/>
  <c r="V131" i="1"/>
  <c r="W131" i="1"/>
  <c r="Y131" i="1"/>
  <c r="R132" i="1"/>
  <c r="S132" i="1"/>
  <c r="T132" i="1"/>
  <c r="U132" i="1"/>
  <c r="V132" i="1"/>
  <c r="W132" i="1"/>
  <c r="Y132" i="1"/>
  <c r="R133" i="1"/>
  <c r="S133" i="1"/>
  <c r="T133" i="1"/>
  <c r="U133" i="1"/>
  <c r="V133" i="1"/>
  <c r="W133" i="1"/>
  <c r="Y133" i="1"/>
  <c r="R134" i="1"/>
  <c r="S134" i="1"/>
  <c r="T134" i="1"/>
  <c r="U134" i="1"/>
  <c r="V134" i="1"/>
  <c r="W134" i="1"/>
  <c r="Y134" i="1"/>
  <c r="R135" i="1"/>
  <c r="S135" i="1"/>
  <c r="T135" i="1"/>
  <c r="U135" i="1"/>
  <c r="V135" i="1"/>
  <c r="W135" i="1"/>
  <c r="Y135" i="1"/>
  <c r="R136" i="1"/>
  <c r="S136" i="1"/>
  <c r="T136" i="1"/>
  <c r="U136" i="1"/>
  <c r="V136" i="1"/>
  <c r="W136" i="1"/>
  <c r="Y136" i="1"/>
  <c r="R137" i="1"/>
  <c r="S137" i="1"/>
  <c r="T137" i="1"/>
  <c r="U137" i="1"/>
  <c r="V137" i="1"/>
  <c r="W137" i="1"/>
  <c r="Y137" i="1"/>
  <c r="R138" i="1"/>
  <c r="S138" i="1"/>
  <c r="T138" i="1"/>
  <c r="U138" i="1"/>
  <c r="V138" i="1"/>
  <c r="W138" i="1"/>
  <c r="Y138" i="1"/>
  <c r="R139" i="1"/>
  <c r="S139" i="1"/>
  <c r="T139" i="1"/>
  <c r="U139" i="1"/>
  <c r="V139" i="1"/>
  <c r="W139" i="1"/>
  <c r="Y139" i="1"/>
  <c r="R140" i="1"/>
  <c r="S140" i="1"/>
  <c r="T140" i="1"/>
  <c r="U140" i="1"/>
  <c r="V140" i="1"/>
  <c r="W140" i="1"/>
  <c r="Y140" i="1"/>
  <c r="R141" i="1"/>
  <c r="S141" i="1"/>
  <c r="T141" i="1"/>
  <c r="U141" i="1"/>
  <c r="V141" i="1"/>
  <c r="W141" i="1"/>
  <c r="Y141" i="1"/>
  <c r="R142" i="1"/>
  <c r="S142" i="1"/>
  <c r="T142" i="1"/>
  <c r="U142" i="1"/>
  <c r="V142" i="1"/>
  <c r="W142" i="1"/>
  <c r="Y142" i="1"/>
  <c r="R143" i="1"/>
  <c r="S143" i="1"/>
  <c r="T143" i="1"/>
  <c r="U143" i="1"/>
  <c r="V143" i="1"/>
  <c r="W143" i="1"/>
  <c r="Y143" i="1"/>
  <c r="R144" i="1"/>
  <c r="S144" i="1"/>
  <c r="T144" i="1"/>
  <c r="U144" i="1"/>
  <c r="V144" i="1"/>
  <c r="W144" i="1"/>
  <c r="Y144" i="1"/>
  <c r="R145" i="1"/>
  <c r="S145" i="1"/>
  <c r="T145" i="1"/>
  <c r="U145" i="1"/>
  <c r="V145" i="1"/>
  <c r="W145" i="1"/>
  <c r="Y145" i="1"/>
  <c r="R146" i="1"/>
  <c r="S146" i="1"/>
  <c r="T146" i="1"/>
  <c r="U146" i="1"/>
  <c r="V146" i="1"/>
  <c r="W146" i="1"/>
  <c r="Y146" i="1"/>
  <c r="R147" i="1"/>
  <c r="S147" i="1"/>
  <c r="T147" i="1"/>
  <c r="U147" i="1"/>
  <c r="V147" i="1"/>
  <c r="W147" i="1"/>
  <c r="Y147" i="1"/>
  <c r="R148" i="1"/>
  <c r="S148" i="1"/>
  <c r="T148" i="1"/>
  <c r="U148" i="1"/>
  <c r="V148" i="1"/>
  <c r="W148" i="1"/>
  <c r="Y148" i="1"/>
  <c r="R149" i="1"/>
  <c r="S149" i="1"/>
  <c r="T149" i="1"/>
  <c r="U149" i="1"/>
  <c r="V149" i="1"/>
  <c r="W149" i="1"/>
  <c r="Y149" i="1"/>
  <c r="R150" i="1"/>
  <c r="S150" i="1"/>
  <c r="T150" i="1"/>
  <c r="U150" i="1"/>
  <c r="V150" i="1"/>
  <c r="W150" i="1"/>
  <c r="Y150" i="1"/>
  <c r="R151" i="1"/>
  <c r="S151" i="1"/>
  <c r="T151" i="1"/>
  <c r="U151" i="1"/>
  <c r="V151" i="1"/>
  <c r="W151" i="1"/>
  <c r="Y151" i="1"/>
  <c r="R152" i="1"/>
  <c r="S152" i="1"/>
  <c r="T152" i="1"/>
  <c r="U152" i="1"/>
  <c r="V152" i="1"/>
  <c r="W152" i="1"/>
  <c r="Y152" i="1"/>
  <c r="R153" i="1"/>
  <c r="S153" i="1"/>
  <c r="T153" i="1"/>
  <c r="U153" i="1"/>
  <c r="V153" i="1"/>
  <c r="W153" i="1"/>
  <c r="Y153" i="1"/>
  <c r="R154" i="1"/>
  <c r="S154" i="1"/>
  <c r="T154" i="1"/>
  <c r="U154" i="1"/>
  <c r="V154" i="1"/>
  <c r="W154" i="1"/>
  <c r="Y154" i="1"/>
  <c r="R155" i="1"/>
  <c r="S155" i="1"/>
  <c r="T155" i="1"/>
  <c r="U155" i="1"/>
  <c r="V155" i="1"/>
  <c r="W155" i="1"/>
  <c r="Y155" i="1"/>
  <c r="R156" i="1"/>
  <c r="S156" i="1"/>
  <c r="T156" i="1"/>
  <c r="U156" i="1"/>
  <c r="V156" i="1"/>
  <c r="W156" i="1"/>
  <c r="Y156" i="1"/>
  <c r="R157" i="1"/>
  <c r="S157" i="1"/>
  <c r="T157" i="1"/>
  <c r="U157" i="1"/>
  <c r="V157" i="1"/>
  <c r="W157" i="1"/>
  <c r="Y157" i="1"/>
  <c r="R158" i="1"/>
  <c r="S158" i="1"/>
  <c r="T158" i="1"/>
  <c r="U158" i="1"/>
  <c r="V158" i="1"/>
  <c r="W158" i="1"/>
  <c r="Y158" i="1"/>
  <c r="R159" i="1"/>
  <c r="S159" i="1"/>
  <c r="T159" i="1"/>
  <c r="U159" i="1"/>
  <c r="V159" i="1"/>
  <c r="W159" i="1"/>
  <c r="Y159" i="1"/>
  <c r="R160" i="1"/>
  <c r="S160" i="1"/>
  <c r="T160" i="1"/>
  <c r="U160" i="1"/>
  <c r="V160" i="1"/>
  <c r="W160" i="1"/>
  <c r="Y160" i="1"/>
  <c r="R161" i="1"/>
  <c r="S161" i="1"/>
  <c r="T161" i="1"/>
  <c r="U161" i="1"/>
  <c r="V161" i="1"/>
  <c r="W161" i="1"/>
  <c r="Y161" i="1"/>
  <c r="R162" i="1"/>
  <c r="S162" i="1"/>
  <c r="T162" i="1"/>
  <c r="U162" i="1"/>
  <c r="V162" i="1"/>
  <c r="W162" i="1"/>
  <c r="Y162" i="1"/>
  <c r="R163" i="1"/>
  <c r="S163" i="1"/>
  <c r="T163" i="1"/>
  <c r="U163" i="1"/>
  <c r="V163" i="1"/>
  <c r="W163" i="1"/>
  <c r="Y163" i="1"/>
  <c r="R164" i="1"/>
  <c r="S164" i="1"/>
  <c r="T164" i="1"/>
  <c r="U164" i="1"/>
  <c r="V164" i="1"/>
  <c r="W164" i="1"/>
  <c r="Y164" i="1"/>
  <c r="R165" i="1"/>
  <c r="S165" i="1"/>
  <c r="T165" i="1"/>
  <c r="U165" i="1"/>
  <c r="V165" i="1"/>
  <c r="W165" i="1"/>
  <c r="Y165" i="1"/>
  <c r="R166" i="1"/>
  <c r="S166" i="1"/>
  <c r="T166" i="1"/>
  <c r="U166" i="1"/>
  <c r="V166" i="1"/>
  <c r="W166" i="1"/>
  <c r="Y166" i="1"/>
  <c r="R167" i="1"/>
  <c r="S167" i="1"/>
  <c r="T167" i="1"/>
  <c r="U167" i="1"/>
  <c r="V167" i="1"/>
  <c r="W167" i="1"/>
  <c r="Y167" i="1"/>
  <c r="R168" i="1"/>
  <c r="S168" i="1"/>
  <c r="T168" i="1"/>
  <c r="U168" i="1"/>
  <c r="V168" i="1"/>
  <c r="W168" i="1"/>
  <c r="Y168" i="1"/>
  <c r="R169" i="1"/>
  <c r="S169" i="1"/>
  <c r="T169" i="1"/>
  <c r="U169" i="1"/>
  <c r="V169" i="1"/>
  <c r="W169" i="1"/>
  <c r="Y169" i="1"/>
  <c r="R170" i="1"/>
  <c r="S170" i="1"/>
  <c r="T170" i="1"/>
  <c r="U170" i="1"/>
  <c r="V170" i="1"/>
  <c r="W170" i="1"/>
  <c r="Y170" i="1"/>
  <c r="R171" i="1"/>
  <c r="S171" i="1"/>
  <c r="T171" i="1"/>
  <c r="U171" i="1"/>
  <c r="V171" i="1"/>
  <c r="W171" i="1"/>
  <c r="Y171" i="1"/>
  <c r="R172" i="1"/>
  <c r="S172" i="1"/>
  <c r="T172" i="1"/>
  <c r="U172" i="1"/>
  <c r="V172" i="1"/>
  <c r="W172" i="1"/>
  <c r="Y172" i="1"/>
  <c r="R173" i="1"/>
  <c r="S173" i="1"/>
  <c r="T173" i="1"/>
  <c r="U173" i="1"/>
  <c r="V173" i="1"/>
  <c r="W173" i="1"/>
  <c r="Y173" i="1"/>
  <c r="R174" i="1"/>
  <c r="S174" i="1"/>
  <c r="T174" i="1"/>
  <c r="U174" i="1"/>
  <c r="V174" i="1"/>
  <c r="W174" i="1"/>
  <c r="Y174" i="1"/>
  <c r="R175" i="1"/>
  <c r="S175" i="1"/>
  <c r="T175" i="1"/>
  <c r="U175" i="1"/>
  <c r="V175" i="1"/>
  <c r="W175" i="1"/>
  <c r="Y175" i="1"/>
  <c r="R176" i="1"/>
  <c r="S176" i="1"/>
  <c r="T176" i="1"/>
  <c r="U176" i="1"/>
  <c r="V176" i="1"/>
  <c r="W176" i="1"/>
  <c r="Y176" i="1"/>
  <c r="R177" i="1"/>
  <c r="S177" i="1"/>
  <c r="T177" i="1"/>
  <c r="U177" i="1"/>
  <c r="V177" i="1"/>
  <c r="W177" i="1"/>
  <c r="Y177" i="1"/>
  <c r="R178" i="1"/>
  <c r="S178" i="1"/>
  <c r="T178" i="1"/>
  <c r="U178" i="1"/>
  <c r="V178" i="1"/>
  <c r="W178" i="1"/>
  <c r="Y178" i="1"/>
  <c r="R179" i="1"/>
  <c r="S179" i="1"/>
  <c r="T179" i="1"/>
  <c r="U179" i="1"/>
  <c r="V179" i="1"/>
  <c r="W179" i="1"/>
  <c r="Y179" i="1"/>
  <c r="R180" i="1"/>
  <c r="S180" i="1"/>
  <c r="T180" i="1"/>
  <c r="U180" i="1"/>
  <c r="V180" i="1"/>
  <c r="W180" i="1"/>
  <c r="Y180" i="1"/>
  <c r="R181" i="1"/>
  <c r="S181" i="1"/>
  <c r="T181" i="1"/>
  <c r="U181" i="1"/>
  <c r="V181" i="1"/>
  <c r="W181" i="1"/>
  <c r="Y181" i="1"/>
  <c r="R182" i="1"/>
  <c r="S182" i="1"/>
  <c r="T182" i="1"/>
  <c r="U182" i="1"/>
  <c r="V182" i="1"/>
  <c r="W182" i="1"/>
  <c r="Y182" i="1"/>
  <c r="R183" i="1"/>
  <c r="S183" i="1"/>
  <c r="T183" i="1"/>
  <c r="U183" i="1"/>
  <c r="V183" i="1"/>
  <c r="W183" i="1"/>
  <c r="Y183" i="1"/>
  <c r="R184" i="1"/>
  <c r="S184" i="1"/>
  <c r="T184" i="1"/>
  <c r="U184" i="1"/>
  <c r="V184" i="1"/>
  <c r="W184" i="1"/>
  <c r="Y184" i="1"/>
  <c r="R185" i="1"/>
  <c r="S185" i="1"/>
  <c r="T185" i="1"/>
  <c r="U185" i="1"/>
  <c r="V185" i="1"/>
  <c r="W185" i="1"/>
  <c r="Y185" i="1"/>
  <c r="R186" i="1"/>
  <c r="S186" i="1"/>
  <c r="T186" i="1"/>
  <c r="U186" i="1"/>
  <c r="V186" i="1"/>
  <c r="W186" i="1"/>
  <c r="Y186" i="1"/>
  <c r="R187" i="1"/>
  <c r="S187" i="1"/>
  <c r="T187" i="1"/>
  <c r="U187" i="1"/>
  <c r="V187" i="1"/>
  <c r="W187" i="1"/>
  <c r="Y187" i="1"/>
  <c r="R188" i="1"/>
  <c r="S188" i="1"/>
  <c r="T188" i="1"/>
  <c r="U188" i="1"/>
  <c r="V188" i="1"/>
  <c r="W188" i="1"/>
  <c r="Y188" i="1"/>
  <c r="R189" i="1"/>
  <c r="S189" i="1"/>
  <c r="T189" i="1"/>
  <c r="U189" i="1"/>
  <c r="V189" i="1"/>
  <c r="W189" i="1"/>
  <c r="Y189" i="1"/>
  <c r="R190" i="1"/>
  <c r="S190" i="1"/>
  <c r="T190" i="1"/>
  <c r="U190" i="1"/>
  <c r="V190" i="1"/>
  <c r="W190" i="1"/>
  <c r="Y190" i="1"/>
  <c r="R191" i="1"/>
  <c r="S191" i="1"/>
  <c r="T191" i="1"/>
  <c r="U191" i="1"/>
  <c r="V191" i="1"/>
  <c r="W191" i="1"/>
  <c r="Y191" i="1"/>
  <c r="R192" i="1"/>
  <c r="S192" i="1"/>
  <c r="T192" i="1"/>
  <c r="U192" i="1"/>
  <c r="V192" i="1"/>
  <c r="W192" i="1"/>
  <c r="Y192" i="1"/>
  <c r="R193" i="1"/>
  <c r="S193" i="1"/>
  <c r="T193" i="1"/>
  <c r="U193" i="1"/>
  <c r="V193" i="1"/>
  <c r="W193" i="1"/>
  <c r="Y193" i="1"/>
  <c r="R194" i="1"/>
  <c r="S194" i="1"/>
  <c r="T194" i="1"/>
  <c r="U194" i="1"/>
  <c r="V194" i="1"/>
  <c r="W194" i="1"/>
  <c r="Y194" i="1"/>
  <c r="R195" i="1"/>
  <c r="S195" i="1"/>
  <c r="T195" i="1"/>
  <c r="U195" i="1"/>
  <c r="V195" i="1"/>
  <c r="W195" i="1"/>
  <c r="Y195" i="1"/>
  <c r="R196" i="1"/>
  <c r="S196" i="1"/>
  <c r="T196" i="1"/>
  <c r="U196" i="1"/>
  <c r="V196" i="1"/>
  <c r="W196" i="1"/>
  <c r="Y196" i="1"/>
  <c r="R197" i="1"/>
  <c r="S197" i="1"/>
  <c r="T197" i="1"/>
  <c r="U197" i="1"/>
  <c r="V197" i="1"/>
  <c r="W197" i="1"/>
  <c r="Y197" i="1"/>
  <c r="R198" i="1"/>
  <c r="S198" i="1"/>
  <c r="T198" i="1"/>
  <c r="U198" i="1"/>
  <c r="V198" i="1"/>
  <c r="W198" i="1"/>
  <c r="Y198" i="1"/>
  <c r="R199" i="1"/>
  <c r="S199" i="1"/>
  <c r="T199" i="1"/>
  <c r="U199" i="1"/>
  <c r="V199" i="1"/>
  <c r="W199" i="1"/>
  <c r="Y199" i="1"/>
  <c r="R200" i="1"/>
  <c r="S200" i="1"/>
  <c r="T200" i="1"/>
  <c r="U200" i="1"/>
  <c r="V200" i="1"/>
  <c r="W200" i="1"/>
  <c r="Y200" i="1"/>
  <c r="R201" i="1"/>
  <c r="S201" i="1"/>
  <c r="T201" i="1"/>
  <c r="U201" i="1"/>
  <c r="V201" i="1"/>
  <c r="W201" i="1"/>
  <c r="Y201" i="1"/>
  <c r="R202" i="1"/>
  <c r="S202" i="1"/>
  <c r="T202" i="1"/>
  <c r="U202" i="1"/>
  <c r="V202" i="1"/>
  <c r="W202" i="1"/>
  <c r="Y202" i="1"/>
  <c r="R203" i="1"/>
  <c r="S203" i="1"/>
  <c r="T203" i="1"/>
  <c r="U203" i="1"/>
  <c r="V203" i="1"/>
  <c r="W203" i="1"/>
  <c r="Y203" i="1"/>
  <c r="R204" i="1"/>
  <c r="S204" i="1"/>
  <c r="T204" i="1"/>
  <c r="U204" i="1"/>
  <c r="V204" i="1"/>
  <c r="W204" i="1"/>
  <c r="Y204" i="1"/>
  <c r="R205" i="1"/>
  <c r="S205" i="1"/>
  <c r="T205" i="1"/>
  <c r="U205" i="1"/>
  <c r="V205" i="1"/>
  <c r="W205" i="1"/>
  <c r="Y205" i="1"/>
  <c r="R206" i="1"/>
  <c r="S206" i="1"/>
  <c r="T206" i="1"/>
  <c r="U206" i="1"/>
  <c r="V206" i="1"/>
  <c r="W206" i="1"/>
  <c r="Y206" i="1"/>
  <c r="R207" i="1"/>
  <c r="S207" i="1"/>
  <c r="T207" i="1"/>
  <c r="U207" i="1"/>
  <c r="V207" i="1"/>
  <c r="W207" i="1"/>
  <c r="Y207" i="1"/>
  <c r="R208" i="1"/>
  <c r="S208" i="1"/>
  <c r="T208" i="1"/>
  <c r="U208" i="1"/>
  <c r="V208" i="1"/>
  <c r="W208" i="1"/>
  <c r="Y208" i="1"/>
  <c r="R209" i="1"/>
  <c r="S209" i="1"/>
  <c r="T209" i="1"/>
  <c r="U209" i="1"/>
  <c r="V209" i="1"/>
  <c r="W209" i="1"/>
  <c r="Y209" i="1"/>
  <c r="R210" i="1"/>
  <c r="S210" i="1"/>
  <c r="T210" i="1"/>
  <c r="U210" i="1"/>
  <c r="V210" i="1"/>
  <c r="W210" i="1"/>
  <c r="Y210" i="1"/>
  <c r="R211" i="1"/>
  <c r="S211" i="1"/>
  <c r="T211" i="1"/>
  <c r="U211" i="1"/>
  <c r="V211" i="1"/>
  <c r="W211" i="1"/>
  <c r="Y211" i="1"/>
  <c r="R212" i="1"/>
  <c r="S212" i="1"/>
  <c r="T212" i="1"/>
  <c r="U212" i="1"/>
  <c r="V212" i="1"/>
  <c r="W212" i="1"/>
  <c r="Y212" i="1"/>
  <c r="R213" i="1"/>
  <c r="S213" i="1"/>
  <c r="T213" i="1"/>
  <c r="U213" i="1"/>
  <c r="V213" i="1"/>
  <c r="W213" i="1"/>
  <c r="Y213" i="1"/>
  <c r="R214" i="1"/>
  <c r="S214" i="1"/>
  <c r="T214" i="1"/>
  <c r="U214" i="1"/>
  <c r="V214" i="1"/>
  <c r="W214" i="1"/>
  <c r="Y214" i="1"/>
  <c r="R215" i="1"/>
  <c r="S215" i="1"/>
  <c r="T215" i="1"/>
  <c r="U215" i="1"/>
  <c r="V215" i="1"/>
  <c r="W215" i="1"/>
  <c r="Y215" i="1"/>
  <c r="R216" i="1"/>
  <c r="S216" i="1"/>
  <c r="T216" i="1"/>
  <c r="U216" i="1"/>
  <c r="V216" i="1"/>
  <c r="W216" i="1"/>
  <c r="Y216" i="1"/>
  <c r="R217" i="1"/>
  <c r="S217" i="1"/>
  <c r="T217" i="1"/>
  <c r="U217" i="1"/>
  <c r="V217" i="1"/>
  <c r="W217" i="1"/>
  <c r="Y217" i="1"/>
  <c r="R218" i="1"/>
  <c r="S218" i="1"/>
  <c r="T218" i="1"/>
  <c r="U218" i="1"/>
  <c r="V218" i="1"/>
  <c r="W218" i="1"/>
  <c r="Y218" i="1"/>
  <c r="R219" i="1"/>
  <c r="S219" i="1"/>
  <c r="T219" i="1"/>
  <c r="U219" i="1"/>
  <c r="V219" i="1"/>
  <c r="W219" i="1"/>
  <c r="Y219" i="1"/>
  <c r="R220" i="1"/>
  <c r="S220" i="1"/>
  <c r="T220" i="1"/>
  <c r="U220" i="1"/>
  <c r="V220" i="1"/>
  <c r="W220" i="1"/>
  <c r="Y220" i="1"/>
  <c r="R221" i="1"/>
  <c r="S221" i="1"/>
  <c r="T221" i="1"/>
  <c r="U221" i="1"/>
  <c r="V221" i="1"/>
  <c r="W221" i="1"/>
  <c r="Y221" i="1"/>
  <c r="R222" i="1"/>
  <c r="S222" i="1"/>
  <c r="T222" i="1"/>
  <c r="U222" i="1"/>
  <c r="V222" i="1"/>
  <c r="W222" i="1"/>
  <c r="Y222" i="1"/>
  <c r="R223" i="1"/>
  <c r="S223" i="1"/>
  <c r="T223" i="1"/>
  <c r="U223" i="1"/>
  <c r="V223" i="1"/>
  <c r="W223" i="1"/>
  <c r="Y223" i="1"/>
  <c r="R224" i="1"/>
  <c r="S224" i="1"/>
  <c r="T224" i="1"/>
  <c r="U224" i="1"/>
  <c r="V224" i="1"/>
  <c r="W224" i="1"/>
  <c r="Y224" i="1"/>
  <c r="R225" i="1"/>
  <c r="S225" i="1"/>
  <c r="T225" i="1"/>
  <c r="U225" i="1"/>
  <c r="V225" i="1"/>
  <c r="W225" i="1"/>
  <c r="Y225" i="1"/>
  <c r="R226" i="1"/>
  <c r="S226" i="1"/>
  <c r="T226" i="1"/>
  <c r="U226" i="1"/>
  <c r="V226" i="1"/>
  <c r="W226" i="1"/>
  <c r="Y226" i="1"/>
  <c r="R227" i="1"/>
  <c r="S227" i="1"/>
  <c r="T227" i="1"/>
  <c r="U227" i="1"/>
  <c r="V227" i="1"/>
  <c r="W227" i="1"/>
  <c r="Y227" i="1"/>
  <c r="R228" i="1"/>
  <c r="S228" i="1"/>
  <c r="T228" i="1"/>
  <c r="U228" i="1"/>
  <c r="V228" i="1"/>
  <c r="W228" i="1"/>
  <c r="Y228" i="1"/>
  <c r="R229" i="1"/>
  <c r="S229" i="1"/>
  <c r="T229" i="1"/>
  <c r="U229" i="1"/>
  <c r="V229" i="1"/>
  <c r="W229" i="1"/>
  <c r="Y229" i="1"/>
  <c r="R230" i="1"/>
  <c r="S230" i="1"/>
  <c r="T230" i="1"/>
  <c r="U230" i="1"/>
  <c r="V230" i="1"/>
  <c r="W230" i="1"/>
  <c r="Y230" i="1"/>
  <c r="R231" i="1"/>
  <c r="S231" i="1"/>
  <c r="T231" i="1"/>
  <c r="U231" i="1"/>
  <c r="V231" i="1"/>
  <c r="W231" i="1"/>
  <c r="Y231" i="1"/>
  <c r="R232" i="1"/>
  <c r="S232" i="1"/>
  <c r="T232" i="1"/>
  <c r="U232" i="1"/>
  <c r="V232" i="1"/>
  <c r="W232" i="1"/>
  <c r="Y232" i="1"/>
  <c r="R233" i="1"/>
  <c r="S233" i="1"/>
  <c r="T233" i="1"/>
  <c r="U233" i="1"/>
  <c r="V233" i="1"/>
  <c r="W233" i="1"/>
  <c r="Y233" i="1"/>
  <c r="R234" i="1"/>
  <c r="S234" i="1"/>
  <c r="T234" i="1"/>
  <c r="U234" i="1"/>
  <c r="V234" i="1"/>
  <c r="W234" i="1"/>
  <c r="Y234" i="1"/>
  <c r="R235" i="1"/>
  <c r="S235" i="1"/>
  <c r="T235" i="1"/>
  <c r="U235" i="1"/>
  <c r="V235" i="1"/>
  <c r="W235" i="1"/>
  <c r="Y235" i="1"/>
  <c r="R236" i="1"/>
  <c r="S236" i="1"/>
  <c r="T236" i="1"/>
  <c r="U236" i="1"/>
  <c r="V236" i="1"/>
  <c r="W236" i="1"/>
  <c r="Y236" i="1"/>
  <c r="R237" i="1"/>
  <c r="S237" i="1"/>
  <c r="T237" i="1"/>
  <c r="U237" i="1"/>
  <c r="V237" i="1"/>
  <c r="W237" i="1"/>
  <c r="Y237" i="1"/>
  <c r="R238" i="1"/>
  <c r="S238" i="1"/>
  <c r="T238" i="1"/>
  <c r="U238" i="1"/>
  <c r="V238" i="1"/>
  <c r="W238" i="1"/>
  <c r="Y238" i="1"/>
  <c r="R239" i="1"/>
  <c r="S239" i="1"/>
  <c r="T239" i="1"/>
  <c r="U239" i="1"/>
  <c r="V239" i="1"/>
  <c r="W239" i="1"/>
  <c r="Y239" i="1"/>
  <c r="R240" i="1"/>
  <c r="S240" i="1"/>
  <c r="T240" i="1"/>
  <c r="U240" i="1"/>
  <c r="V240" i="1"/>
  <c r="W240" i="1"/>
  <c r="Y240" i="1"/>
  <c r="R241" i="1"/>
  <c r="S241" i="1"/>
  <c r="T241" i="1"/>
  <c r="U241" i="1"/>
  <c r="V241" i="1"/>
  <c r="W241" i="1"/>
  <c r="Y241" i="1"/>
  <c r="R242" i="1"/>
  <c r="S242" i="1"/>
  <c r="T242" i="1"/>
  <c r="U242" i="1"/>
  <c r="V242" i="1"/>
  <c r="W242" i="1"/>
  <c r="Y242" i="1"/>
  <c r="R243" i="1"/>
  <c r="S243" i="1"/>
  <c r="T243" i="1"/>
  <c r="U243" i="1"/>
  <c r="V243" i="1"/>
  <c r="W243" i="1"/>
  <c r="Y243" i="1"/>
  <c r="R244" i="1"/>
  <c r="S244" i="1"/>
  <c r="T244" i="1"/>
  <c r="U244" i="1"/>
  <c r="V244" i="1"/>
  <c r="W244" i="1"/>
  <c r="Y244" i="1"/>
  <c r="R245" i="1"/>
  <c r="S245" i="1"/>
  <c r="T245" i="1"/>
  <c r="U245" i="1"/>
  <c r="V245" i="1"/>
  <c r="W245" i="1"/>
  <c r="Y245" i="1"/>
  <c r="R246" i="1"/>
  <c r="S246" i="1"/>
  <c r="T246" i="1"/>
  <c r="U246" i="1"/>
  <c r="V246" i="1"/>
  <c r="W246" i="1"/>
  <c r="Y246" i="1"/>
  <c r="R247" i="1"/>
  <c r="S247" i="1"/>
  <c r="T247" i="1"/>
  <c r="U247" i="1"/>
  <c r="V247" i="1"/>
  <c r="W247" i="1"/>
  <c r="Y247" i="1"/>
  <c r="R248" i="1"/>
  <c r="S248" i="1"/>
  <c r="T248" i="1"/>
  <c r="U248" i="1"/>
  <c r="V248" i="1"/>
  <c r="W248" i="1"/>
  <c r="Y248" i="1"/>
  <c r="R249" i="1"/>
  <c r="S249" i="1"/>
  <c r="T249" i="1"/>
  <c r="U249" i="1"/>
  <c r="V249" i="1"/>
  <c r="W249" i="1"/>
  <c r="Y249" i="1"/>
  <c r="R250" i="1"/>
  <c r="S250" i="1"/>
  <c r="T250" i="1"/>
  <c r="U250" i="1"/>
  <c r="V250" i="1"/>
  <c r="W250" i="1"/>
  <c r="Y250" i="1"/>
  <c r="R251" i="1"/>
  <c r="S251" i="1"/>
  <c r="T251" i="1"/>
  <c r="U251" i="1"/>
  <c r="V251" i="1"/>
  <c r="W251" i="1"/>
  <c r="Y251" i="1"/>
  <c r="R252" i="1"/>
  <c r="S252" i="1"/>
  <c r="T252" i="1"/>
  <c r="U252" i="1"/>
  <c r="V252" i="1"/>
  <c r="W252" i="1"/>
  <c r="Y252" i="1"/>
  <c r="R253" i="1"/>
  <c r="S253" i="1"/>
  <c r="T253" i="1"/>
  <c r="U253" i="1"/>
  <c r="V253" i="1"/>
  <c r="W253" i="1"/>
  <c r="Y253" i="1"/>
  <c r="R254" i="1"/>
  <c r="S254" i="1"/>
  <c r="T254" i="1"/>
  <c r="U254" i="1"/>
  <c r="V254" i="1"/>
  <c r="W254" i="1"/>
  <c r="Y254" i="1"/>
  <c r="R255" i="1"/>
  <c r="S255" i="1"/>
  <c r="T255" i="1"/>
  <c r="U255" i="1"/>
  <c r="V255" i="1"/>
  <c r="W255" i="1"/>
  <c r="Y255" i="1"/>
  <c r="R256" i="1"/>
  <c r="S256" i="1"/>
  <c r="T256" i="1"/>
  <c r="U256" i="1"/>
  <c r="V256" i="1"/>
  <c r="W256" i="1"/>
  <c r="Y256" i="1"/>
  <c r="R257" i="1"/>
  <c r="S257" i="1"/>
  <c r="T257" i="1"/>
  <c r="U257" i="1"/>
  <c r="V257" i="1"/>
  <c r="W257" i="1"/>
  <c r="Y257" i="1"/>
  <c r="R258" i="1"/>
  <c r="S258" i="1"/>
  <c r="T258" i="1"/>
  <c r="U258" i="1"/>
  <c r="V258" i="1"/>
  <c r="W258" i="1"/>
  <c r="Y258" i="1"/>
  <c r="R259" i="1"/>
  <c r="S259" i="1"/>
  <c r="T259" i="1"/>
  <c r="U259" i="1"/>
  <c r="V259" i="1"/>
  <c r="W259" i="1"/>
  <c r="Y259" i="1"/>
  <c r="R260" i="1"/>
  <c r="S260" i="1"/>
  <c r="T260" i="1"/>
  <c r="U260" i="1"/>
  <c r="V260" i="1"/>
  <c r="W260" i="1"/>
  <c r="Y260" i="1"/>
  <c r="R261" i="1"/>
  <c r="S261" i="1"/>
  <c r="T261" i="1"/>
  <c r="U261" i="1"/>
  <c r="V261" i="1"/>
  <c r="W261" i="1"/>
  <c r="Y261" i="1"/>
  <c r="R262" i="1"/>
  <c r="S262" i="1"/>
  <c r="T262" i="1"/>
  <c r="U262" i="1"/>
  <c r="V262" i="1"/>
  <c r="W262" i="1"/>
  <c r="Y262" i="1"/>
  <c r="R263" i="1"/>
  <c r="S263" i="1"/>
  <c r="T263" i="1"/>
  <c r="U263" i="1"/>
  <c r="V263" i="1"/>
  <c r="W263" i="1"/>
  <c r="Y263" i="1"/>
  <c r="R264" i="1"/>
  <c r="S264" i="1"/>
  <c r="T264" i="1"/>
  <c r="U264" i="1"/>
  <c r="V264" i="1"/>
  <c r="W264" i="1"/>
  <c r="Y264" i="1"/>
  <c r="R265" i="1"/>
  <c r="S265" i="1"/>
  <c r="T265" i="1"/>
  <c r="U265" i="1"/>
  <c r="V265" i="1"/>
  <c r="W265" i="1"/>
  <c r="Y265" i="1"/>
  <c r="R266" i="1"/>
  <c r="S266" i="1"/>
  <c r="T266" i="1"/>
  <c r="U266" i="1"/>
  <c r="V266" i="1"/>
  <c r="W266" i="1"/>
  <c r="Y266" i="1"/>
  <c r="R267" i="1"/>
  <c r="S267" i="1"/>
  <c r="T267" i="1"/>
  <c r="U267" i="1"/>
  <c r="V267" i="1"/>
  <c r="W267" i="1"/>
  <c r="Y267" i="1"/>
  <c r="R268" i="1"/>
  <c r="S268" i="1"/>
  <c r="T268" i="1"/>
  <c r="U268" i="1"/>
  <c r="V268" i="1"/>
  <c r="W268" i="1"/>
  <c r="Y268" i="1"/>
  <c r="R269" i="1"/>
  <c r="S269" i="1"/>
  <c r="T269" i="1"/>
  <c r="U269" i="1"/>
  <c r="V269" i="1"/>
  <c r="W269" i="1"/>
  <c r="Y269" i="1"/>
  <c r="R270" i="1"/>
  <c r="S270" i="1"/>
  <c r="T270" i="1"/>
  <c r="U270" i="1"/>
  <c r="V270" i="1"/>
  <c r="W270" i="1"/>
  <c r="Y270" i="1"/>
  <c r="R271" i="1"/>
  <c r="S271" i="1"/>
  <c r="T271" i="1"/>
  <c r="U271" i="1"/>
  <c r="V271" i="1"/>
  <c r="W271" i="1"/>
  <c r="Y271" i="1"/>
  <c r="R272" i="1"/>
  <c r="S272" i="1"/>
  <c r="T272" i="1"/>
  <c r="U272" i="1"/>
  <c r="V272" i="1"/>
  <c r="W272" i="1"/>
  <c r="Y272" i="1"/>
  <c r="R273" i="1"/>
  <c r="S273" i="1"/>
  <c r="T273" i="1"/>
  <c r="U273" i="1"/>
  <c r="V273" i="1"/>
  <c r="W273" i="1"/>
  <c r="Y273" i="1"/>
  <c r="R274" i="1"/>
  <c r="S274" i="1"/>
  <c r="T274" i="1"/>
  <c r="U274" i="1"/>
  <c r="V274" i="1"/>
  <c r="W274" i="1"/>
  <c r="Y274" i="1"/>
  <c r="R275" i="1"/>
  <c r="S275" i="1"/>
  <c r="T275" i="1"/>
  <c r="U275" i="1"/>
  <c r="V275" i="1"/>
  <c r="W275" i="1"/>
  <c r="Y275" i="1"/>
  <c r="R276" i="1"/>
  <c r="S276" i="1"/>
  <c r="T276" i="1"/>
  <c r="U276" i="1"/>
  <c r="V276" i="1"/>
  <c r="W276" i="1"/>
  <c r="Y276" i="1"/>
  <c r="R277" i="1"/>
  <c r="S277" i="1"/>
  <c r="T277" i="1"/>
  <c r="U277" i="1"/>
  <c r="V277" i="1"/>
  <c r="W277" i="1"/>
  <c r="Y277" i="1"/>
  <c r="R278" i="1"/>
  <c r="S278" i="1"/>
  <c r="T278" i="1"/>
  <c r="U278" i="1"/>
  <c r="V278" i="1"/>
  <c r="W278" i="1"/>
  <c r="Y278" i="1"/>
  <c r="R279" i="1"/>
  <c r="S279" i="1"/>
  <c r="T279" i="1"/>
  <c r="U279" i="1"/>
  <c r="V279" i="1"/>
  <c r="W279" i="1"/>
  <c r="Y279" i="1"/>
  <c r="R280" i="1"/>
  <c r="S280" i="1"/>
  <c r="T280" i="1"/>
  <c r="U280" i="1"/>
  <c r="V280" i="1"/>
  <c r="W280" i="1"/>
  <c r="Y280" i="1"/>
  <c r="R281" i="1"/>
  <c r="S281" i="1"/>
  <c r="T281" i="1"/>
  <c r="U281" i="1"/>
  <c r="V281" i="1"/>
  <c r="W281" i="1"/>
  <c r="Y281" i="1"/>
  <c r="R282" i="1"/>
  <c r="S282" i="1"/>
  <c r="T282" i="1"/>
  <c r="U282" i="1"/>
  <c r="V282" i="1"/>
  <c r="W282" i="1"/>
  <c r="Y282" i="1"/>
  <c r="R283" i="1"/>
  <c r="S283" i="1"/>
  <c r="T283" i="1"/>
  <c r="U283" i="1"/>
  <c r="V283" i="1"/>
  <c r="W283" i="1"/>
  <c r="Y283" i="1"/>
  <c r="R284" i="1"/>
  <c r="S284" i="1"/>
  <c r="T284" i="1"/>
  <c r="U284" i="1"/>
  <c r="V284" i="1"/>
  <c r="W284" i="1"/>
  <c r="Y284" i="1"/>
  <c r="R285" i="1"/>
  <c r="S285" i="1"/>
  <c r="T285" i="1"/>
  <c r="U285" i="1"/>
  <c r="V285" i="1"/>
  <c r="W285" i="1"/>
  <c r="Y285" i="1"/>
  <c r="R286" i="1"/>
  <c r="S286" i="1"/>
  <c r="T286" i="1"/>
  <c r="U286" i="1"/>
  <c r="V286" i="1"/>
  <c r="W286" i="1"/>
  <c r="Y286" i="1"/>
  <c r="R287" i="1"/>
  <c r="S287" i="1"/>
  <c r="T287" i="1"/>
  <c r="U287" i="1"/>
  <c r="V287" i="1"/>
  <c r="W287" i="1"/>
  <c r="Y287" i="1"/>
  <c r="R288" i="1"/>
  <c r="S288" i="1"/>
  <c r="T288" i="1"/>
  <c r="U288" i="1"/>
  <c r="V288" i="1"/>
  <c r="W288" i="1"/>
  <c r="Y288" i="1"/>
  <c r="R289" i="1"/>
  <c r="S289" i="1"/>
  <c r="T289" i="1"/>
  <c r="U289" i="1"/>
  <c r="V289" i="1"/>
  <c r="W289" i="1"/>
  <c r="Y289" i="1"/>
  <c r="R290" i="1"/>
  <c r="S290" i="1"/>
  <c r="T290" i="1"/>
  <c r="U290" i="1"/>
  <c r="V290" i="1"/>
  <c r="W290" i="1"/>
  <c r="Y290" i="1"/>
  <c r="R291" i="1"/>
  <c r="S291" i="1"/>
  <c r="T291" i="1"/>
  <c r="U291" i="1"/>
  <c r="V291" i="1"/>
  <c r="W291" i="1"/>
  <c r="Y291" i="1"/>
  <c r="R292" i="1"/>
  <c r="S292" i="1"/>
  <c r="T292" i="1"/>
  <c r="U292" i="1"/>
  <c r="V292" i="1"/>
  <c r="W292" i="1"/>
  <c r="Y292" i="1"/>
  <c r="R293" i="1"/>
  <c r="S293" i="1"/>
  <c r="T293" i="1"/>
  <c r="U293" i="1"/>
  <c r="V293" i="1"/>
  <c r="W293" i="1"/>
  <c r="Y293" i="1"/>
  <c r="R294" i="1"/>
  <c r="S294" i="1"/>
  <c r="T294" i="1"/>
  <c r="U294" i="1"/>
  <c r="V294" i="1"/>
  <c r="W294" i="1"/>
  <c r="Y294" i="1"/>
  <c r="R295" i="1"/>
  <c r="S295" i="1"/>
  <c r="T295" i="1"/>
  <c r="U295" i="1"/>
  <c r="V295" i="1"/>
  <c r="W295" i="1"/>
  <c r="Y295" i="1"/>
  <c r="R296" i="1"/>
  <c r="S296" i="1"/>
  <c r="T296" i="1"/>
  <c r="U296" i="1"/>
  <c r="V296" i="1"/>
  <c r="W296" i="1"/>
  <c r="Y296" i="1"/>
  <c r="R297" i="1"/>
  <c r="S297" i="1"/>
  <c r="T297" i="1"/>
  <c r="U297" i="1"/>
  <c r="V297" i="1"/>
  <c r="W297" i="1"/>
  <c r="Y297" i="1"/>
  <c r="R298" i="1"/>
  <c r="S298" i="1"/>
  <c r="T298" i="1"/>
  <c r="U298" i="1"/>
  <c r="V298" i="1"/>
  <c r="W298" i="1"/>
  <c r="Y298" i="1"/>
  <c r="R299" i="1"/>
  <c r="S299" i="1"/>
  <c r="T299" i="1"/>
  <c r="U299" i="1"/>
  <c r="V299" i="1"/>
  <c r="W299" i="1"/>
  <c r="Y299" i="1"/>
  <c r="R300" i="1"/>
  <c r="S300" i="1"/>
  <c r="T300" i="1"/>
  <c r="U300" i="1"/>
  <c r="V300" i="1"/>
  <c r="W300" i="1"/>
  <c r="Y300" i="1"/>
  <c r="R301" i="1"/>
  <c r="S301" i="1"/>
  <c r="T301" i="1"/>
  <c r="U301" i="1"/>
  <c r="V301" i="1"/>
  <c r="W301" i="1"/>
  <c r="Y301" i="1"/>
  <c r="R302" i="1"/>
  <c r="S302" i="1"/>
  <c r="T302" i="1"/>
  <c r="U302" i="1"/>
  <c r="V302" i="1"/>
  <c r="W302" i="1"/>
  <c r="Y302" i="1"/>
  <c r="R303" i="1"/>
  <c r="S303" i="1"/>
  <c r="T303" i="1"/>
  <c r="U303" i="1"/>
  <c r="V303" i="1"/>
  <c r="W303" i="1"/>
  <c r="Y303" i="1"/>
  <c r="R304" i="1"/>
  <c r="S304" i="1"/>
  <c r="T304" i="1"/>
  <c r="U304" i="1"/>
  <c r="V304" i="1"/>
  <c r="W304" i="1"/>
  <c r="Y304" i="1"/>
  <c r="R305" i="1"/>
  <c r="S305" i="1"/>
  <c r="T305" i="1"/>
  <c r="U305" i="1"/>
  <c r="V305" i="1"/>
  <c r="W305" i="1"/>
  <c r="Y305" i="1"/>
  <c r="R306" i="1"/>
  <c r="S306" i="1"/>
  <c r="T306" i="1"/>
  <c r="U306" i="1"/>
  <c r="V306" i="1"/>
  <c r="W306" i="1"/>
  <c r="Y306" i="1"/>
  <c r="R307" i="1"/>
  <c r="S307" i="1"/>
  <c r="T307" i="1"/>
  <c r="U307" i="1"/>
  <c r="V307" i="1"/>
  <c r="W307" i="1"/>
  <c r="Y307" i="1"/>
  <c r="R308" i="1"/>
  <c r="S308" i="1"/>
  <c r="T308" i="1"/>
  <c r="U308" i="1"/>
  <c r="V308" i="1"/>
  <c r="W308" i="1"/>
  <c r="Y308" i="1"/>
  <c r="R309" i="1"/>
  <c r="S309" i="1"/>
  <c r="T309" i="1"/>
  <c r="U309" i="1"/>
  <c r="V309" i="1"/>
  <c r="W309" i="1"/>
  <c r="Y309" i="1"/>
  <c r="N310" i="1" l="1"/>
  <c r="B1" i="13"/>
</calcChain>
</file>

<file path=xl/sharedStrings.xml><?xml version="1.0" encoding="utf-8"?>
<sst xmlns="http://schemas.openxmlformats.org/spreadsheetml/2006/main" count="692" uniqueCount="68">
  <si>
    <t>id</t>
  </si>
  <si>
    <t>facebook_tier1</t>
  </si>
  <si>
    <t>social</t>
  </si>
  <si>
    <t>google_hot</t>
  </si>
  <si>
    <t>search</t>
  </si>
  <si>
    <t>google_wide</t>
  </si>
  <si>
    <t>youtube_blogger</t>
  </si>
  <si>
    <t>influencer</t>
  </si>
  <si>
    <t>instagram_tier1</t>
  </si>
  <si>
    <t>instagram_tier2</t>
  </si>
  <si>
    <t>facebook_retargeting</t>
  </si>
  <si>
    <t>facebook_lal</t>
  </si>
  <si>
    <t>instagram_blogger</t>
  </si>
  <si>
    <t>banner_partner</t>
  </si>
  <si>
    <t>media</t>
  </si>
  <si>
    <t>AVERAGE ORDER VALUE</t>
  </si>
  <si>
    <t>COST PER CLICK</t>
  </si>
  <si>
    <t>COST PER LEAD</t>
  </si>
  <si>
    <t>GROSS PROFIT</t>
  </si>
  <si>
    <t>CAC</t>
  </si>
  <si>
    <t>GEO</t>
  </si>
  <si>
    <t>Campaign name</t>
  </si>
  <si>
    <t>DAY TYPE</t>
  </si>
  <si>
    <t>DAY</t>
  </si>
  <si>
    <t>MONTH</t>
  </si>
  <si>
    <t>Grand Total</t>
  </si>
  <si>
    <t>Campaign Name</t>
  </si>
  <si>
    <t>Campaign category</t>
  </si>
  <si>
    <t>Calendar Date</t>
  </si>
  <si>
    <t>Revenue</t>
  </si>
  <si>
    <t>Mark spent</t>
  </si>
  <si>
    <t>ROMI %</t>
  </si>
  <si>
    <t>Clicks</t>
  </si>
  <si>
    <t>Leads</t>
  </si>
  <si>
    <t>Orders</t>
  </si>
  <si>
    <t>CTR %</t>
  </si>
  <si>
    <t>CR1(VL) %</t>
  </si>
  <si>
    <r>
      <t xml:space="preserve">CR2(LO) </t>
    </r>
    <r>
      <rPr>
        <b/>
        <strike/>
        <sz val="11"/>
        <color theme="0"/>
        <rFont val="Aptos Narrow"/>
        <family val="2"/>
        <scheme val="minor"/>
      </rPr>
      <t>%</t>
    </r>
  </si>
  <si>
    <t>Campaign id</t>
  </si>
  <si>
    <t>Impressions</t>
  </si>
  <si>
    <t>Total Revenue</t>
  </si>
  <si>
    <t>Overall_ROMI</t>
  </si>
  <si>
    <t>Total Mark spent</t>
  </si>
  <si>
    <t>Total True_CR2</t>
  </si>
  <si>
    <t>Average Order Value = Grand Total of Revenue / Grand Total of orders</t>
  </si>
  <si>
    <t>4. When are buyers more active? What is the average revenue on weekdays and weekends?</t>
  </si>
  <si>
    <t>Weekday</t>
  </si>
  <si>
    <t>Weekend</t>
  </si>
  <si>
    <t>I also learnt how to create a combo chart, Clustered Column Chart with Dual Axes (Secondary Axis) in order to answer my question 4. When buyers are more active? What is the average revenue on weekdays and weekends?</t>
  </si>
  <si>
    <t>Average Revenue</t>
  </si>
  <si>
    <t>Average Orders</t>
  </si>
  <si>
    <t>Average Clicks</t>
  </si>
  <si>
    <t>Campaign Day Type</t>
  </si>
  <si>
    <t>Date</t>
  </si>
  <si>
    <t>5.  Which types of campaigns work best - social, banner, influencer, or a search?  Across ROMI, Revenue and Mark spent.</t>
  </si>
  <si>
    <t>Campaign Category</t>
  </si>
  <si>
    <t>I used this combo a lot, used it to create a line combo too</t>
  </si>
  <si>
    <t>1. What is the OVERALL MOI?</t>
  </si>
  <si>
    <t>Total Campaign ROMI</t>
  </si>
  <si>
    <t>2.  What are the ROMIs by campaigns?</t>
  </si>
  <si>
    <t>In this project, I used calculated fields a lot, learnt how to use it like measures in power bi. I wrote quite some calculated fields here.</t>
  </si>
  <si>
    <t>True_ROMI %</t>
  </si>
  <si>
    <t>6.  Which geo locations are better for targeting - tier 1 or tier 2 cities?</t>
  </si>
  <si>
    <t>GEO2</t>
  </si>
  <si>
    <t>Tier 1</t>
  </si>
  <si>
    <t>Tier 2</t>
  </si>
  <si>
    <t>Geographical Locations</t>
  </si>
  <si>
    <t>Facebook_tier2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</si>
</sst>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439]#,##0.00"/>
    <numFmt numFmtId="165" formatCode="0.0%"/>
    <numFmt numFmtId="166" formatCode="0.000%"/>
    <numFmt numFmtId="167" formatCode="0.0000%"/>
    <numFmt numFmtId="168" formatCode="0.00000%"/>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b/>
      <strike/>
      <sz val="11"/>
      <color theme="0"/>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
      <patternFill patternType="solid">
        <fgColor theme="4" tint="0.79998168889431442"/>
        <bgColor theme="4" tint="0.79998168889431442"/>
      </patternFill>
    </fill>
    <fill>
      <patternFill patternType="solid">
        <fgColor theme="0" tint="-4.9989318521683403E-2"/>
        <bgColor indexed="64"/>
      </patternFill>
    </fill>
    <fill>
      <patternFill patternType="solid">
        <fgColor theme="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5">
    <xf numFmtId="0" fontId="0" fillId="0" borderId="0" xfId="0"/>
    <xf numFmtId="14" fontId="0" fillId="0" borderId="0" xfId="0" applyNumberFormat="1"/>
    <xf numFmtId="0" fontId="0" fillId="0" borderId="0" xfId="0" pivotButton="1"/>
    <xf numFmtId="0" fontId="0" fillId="0" borderId="0" xfId="0" applyAlignment="1">
      <alignment horizontal="left"/>
    </xf>
    <xf numFmtId="14" fontId="0" fillId="0" borderId="0" xfId="0" applyNumberFormat="1" applyAlignment="1">
      <alignment horizontal="left"/>
    </xf>
    <xf numFmtId="0" fontId="0" fillId="34" borderId="10" xfId="0" applyFill="1" applyBorder="1"/>
    <xf numFmtId="14" fontId="0" fillId="34" borderId="10" xfId="0" applyNumberFormat="1" applyFill="1" applyBorder="1"/>
    <xf numFmtId="0" fontId="0" fillId="0" borderId="10" xfId="0" applyBorder="1"/>
    <xf numFmtId="14" fontId="0" fillId="0" borderId="10" xfId="0" applyNumberFormat="1" applyBorder="1"/>
    <xf numFmtId="164" fontId="0" fillId="0" borderId="0" xfId="0" applyNumberFormat="1"/>
    <xf numFmtId="165" fontId="0" fillId="0" borderId="0" xfId="1" applyNumberFormat="1" applyFont="1"/>
    <xf numFmtId="166" fontId="0" fillId="0" borderId="0" xfId="1" applyNumberFormat="1" applyFont="1"/>
    <xf numFmtId="164" fontId="0" fillId="34" borderId="10" xfId="0" applyNumberFormat="1" applyFill="1" applyBorder="1"/>
    <xf numFmtId="164" fontId="0" fillId="0" borderId="10" xfId="0" applyNumberFormat="1" applyBorder="1"/>
    <xf numFmtId="166" fontId="0" fillId="34" borderId="10" xfId="1" applyNumberFormat="1" applyFont="1" applyFill="1" applyBorder="1"/>
    <xf numFmtId="166" fontId="0" fillId="0" borderId="10" xfId="1" applyNumberFormat="1" applyFont="1" applyBorder="1"/>
    <xf numFmtId="167" fontId="0" fillId="34" borderId="10" xfId="1" applyNumberFormat="1" applyFont="1" applyFill="1" applyBorder="1"/>
    <xf numFmtId="167" fontId="0" fillId="0" borderId="0" xfId="1" applyNumberFormat="1" applyFont="1"/>
    <xf numFmtId="168" fontId="0" fillId="34" borderId="10" xfId="1" applyNumberFormat="1" applyFont="1" applyFill="1" applyBorder="1"/>
    <xf numFmtId="168" fontId="0" fillId="0" borderId="0" xfId="1" applyNumberFormat="1" applyFont="1"/>
    <xf numFmtId="0" fontId="13" fillId="33" borderId="0" xfId="0" applyFont="1" applyFill="1"/>
    <xf numFmtId="14" fontId="13" fillId="33" borderId="0" xfId="0" applyNumberFormat="1" applyFont="1" applyFill="1"/>
    <xf numFmtId="164" fontId="13" fillId="33" borderId="0" xfId="0" applyNumberFormat="1" applyFont="1" applyFill="1"/>
    <xf numFmtId="166" fontId="13" fillId="33" borderId="0" xfId="1" applyNumberFormat="1" applyFont="1" applyFill="1" applyBorder="1"/>
    <xf numFmtId="167" fontId="13" fillId="33" borderId="0" xfId="1" applyNumberFormat="1" applyFont="1" applyFill="1" applyBorder="1"/>
    <xf numFmtId="168" fontId="13" fillId="33" borderId="0" xfId="1" applyNumberFormat="1" applyFont="1" applyFill="1" applyBorder="1"/>
    <xf numFmtId="2" fontId="0" fillId="0" borderId="0" xfId="0" applyNumberFormat="1"/>
    <xf numFmtId="0" fontId="0" fillId="0" borderId="0" xfId="0" applyAlignment="1">
      <alignment wrapText="1"/>
    </xf>
    <xf numFmtId="10" fontId="0" fillId="0" borderId="0" xfId="0" applyNumberFormat="1"/>
    <xf numFmtId="0" fontId="0" fillId="35" borderId="0" xfId="0" applyFill="1"/>
    <xf numFmtId="0" fontId="0" fillId="36" borderId="0" xfId="0" applyFill="1"/>
    <xf numFmtId="10" fontId="0" fillId="34" borderId="10" xfId="0" applyNumberFormat="1" applyFill="1" applyBorder="1"/>
    <xf numFmtId="167" fontId="0" fillId="34" borderId="10" xfId="0" applyNumberFormat="1" applyFill="1" applyBorder="1"/>
    <xf numFmtId="168" fontId="0" fillId="34" borderId="10" xfId="0" applyNumberFormat="1" applyFill="1" applyBorder="1"/>
    <xf numFmtId="0" fontId="0" fillId="0" borderId="0" xfId="0"/>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56">
    <dxf>
      <numFmt numFmtId="2" formatCode="0.00"/>
    </dxf>
    <dxf>
      <fill>
        <patternFill patternType="solid">
          <fgColor theme="4" tint="0.79998168889431442"/>
          <bgColor theme="4" tint="0.79998168889431442"/>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ill>
        <patternFill patternType="solid">
          <fgColor theme="4" tint="0.79998168889431442"/>
          <bgColor theme="4" tint="0.79998168889431442"/>
        </patternFill>
      </fill>
      <border diagonalUp="0" diagonalDown="0" outline="0">
        <left/>
        <right/>
        <top style="thin">
          <color theme="4" tint="0.39997558519241921"/>
        </top>
        <bottom/>
      </border>
    </dxf>
    <dxf>
      <numFmt numFmtId="0" formatCode="General"/>
      <border diagonalUp="0" diagonalDown="0">
        <left/>
        <right/>
        <top style="thin">
          <color theme="4" tint="0.39997558519241921"/>
        </top>
        <bottom/>
        <vertical/>
        <horizontal/>
      </border>
    </dxf>
    <dxf>
      <fill>
        <patternFill patternType="solid">
          <fgColor theme="4" tint="0.79998168889431442"/>
          <bgColor theme="4" tint="0.79998168889431442"/>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numFmt numFmtId="164" formatCode="[$₹-439]#,##0.00"/>
      <fill>
        <patternFill patternType="solid">
          <fgColor theme="4" tint="0.79998168889431442"/>
          <bgColor theme="4" tint="0.79998168889431442"/>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Aptos Narrow"/>
        <family val="2"/>
        <scheme val="minor"/>
      </font>
      <numFmt numFmtId="164" formatCode="[$₹-439]#,##0.00"/>
      <fill>
        <patternFill patternType="solid">
          <fgColor theme="4" tint="0.79998168889431442"/>
          <bgColor theme="4" tint="0.79998168889431442"/>
        </patternFill>
      </fill>
      <border diagonalUp="0" diagonalDown="0">
        <left/>
        <right/>
        <top style="thin">
          <color theme="4" tint="0.39997558519241921"/>
        </top>
        <bottom/>
        <vertical/>
        <horizontal/>
      </border>
    </dxf>
    <dxf>
      <numFmt numFmtId="164" formatCode="[$₹-439]#,##0.00"/>
      <fill>
        <patternFill patternType="solid">
          <fgColor theme="4" tint="0.79998168889431442"/>
          <bgColor theme="4" tint="0.79998168889431442"/>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Aptos Narrow"/>
        <family val="2"/>
        <scheme val="minor"/>
      </font>
      <numFmt numFmtId="164" formatCode="[$₹-439]#,##0.00"/>
      <fill>
        <patternFill patternType="solid">
          <fgColor theme="4" tint="0.79998168889431442"/>
          <bgColor theme="4" tint="0.79998168889431442"/>
        </patternFill>
      </fill>
      <border diagonalUp="0" diagonalDown="0">
        <left/>
        <right/>
        <top style="thin">
          <color theme="4" tint="0.39997558519241921"/>
        </top>
        <bottom/>
        <vertical/>
        <horizontal/>
      </border>
    </dxf>
    <dxf>
      <numFmt numFmtId="164" formatCode="[$₹-439]#,##0.00"/>
      <fill>
        <patternFill patternType="solid">
          <fgColor theme="4" tint="0.79998168889431442"/>
          <bgColor theme="4" tint="0.79998168889431442"/>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Aptos Narrow"/>
        <family val="2"/>
        <scheme val="minor"/>
      </font>
      <numFmt numFmtId="164" formatCode="[$₹-439]#,##0.00"/>
      <fill>
        <patternFill patternType="solid">
          <fgColor theme="4" tint="0.79998168889431442"/>
          <bgColor theme="4" tint="0.79998168889431442"/>
        </patternFill>
      </fill>
      <border diagonalUp="0" diagonalDown="0">
        <left/>
        <right/>
        <top style="thin">
          <color theme="4" tint="0.39997558519241921"/>
        </top>
        <bottom/>
        <vertical/>
        <horizontal/>
      </border>
    </dxf>
    <dxf>
      <numFmt numFmtId="164" formatCode="[$₹-439]#,##0.00"/>
      <fill>
        <patternFill patternType="solid">
          <fgColor theme="4" tint="0.79998168889431442"/>
          <bgColor theme="4" tint="0.79998168889431442"/>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Aptos Narrow"/>
        <family val="2"/>
        <scheme val="minor"/>
      </font>
      <numFmt numFmtId="164" formatCode="[$₹-439]#,##0.00"/>
      <fill>
        <patternFill patternType="solid">
          <fgColor theme="4" tint="0.79998168889431442"/>
          <bgColor theme="4" tint="0.79998168889431442"/>
        </patternFill>
      </fill>
      <border diagonalUp="0" diagonalDown="0">
        <left/>
        <right/>
        <top style="thin">
          <color theme="4" tint="0.39997558519241921"/>
        </top>
        <bottom/>
        <vertical/>
        <horizontal/>
      </border>
    </dxf>
    <dxf>
      <numFmt numFmtId="164" formatCode="[$₹-439]#,##0.00"/>
      <fill>
        <patternFill patternType="solid">
          <fgColor theme="4" tint="0.79998168889431442"/>
          <bgColor theme="4" tint="0.79998168889431442"/>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Aptos Narrow"/>
        <family val="2"/>
        <scheme val="minor"/>
      </font>
      <numFmt numFmtId="164" formatCode="[$₹-439]#,##0.00"/>
      <fill>
        <patternFill patternType="solid">
          <fgColor theme="4" tint="0.79998168889431442"/>
          <bgColor theme="4" tint="0.79998168889431442"/>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Aptos Narrow"/>
        <family val="2"/>
        <scheme val="minor"/>
      </font>
      <numFmt numFmtId="167" formatCode="0.0000%"/>
      <fill>
        <patternFill patternType="solid">
          <fgColor theme="4" tint="0.79998168889431442"/>
          <bgColor theme="4" tint="0.79998168889431442"/>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Aptos Narrow"/>
        <family val="2"/>
        <scheme val="minor"/>
      </font>
      <numFmt numFmtId="167" formatCode="0.00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numFmt numFmtId="168" formatCode="0.00000%"/>
      <fill>
        <patternFill patternType="solid">
          <fgColor theme="4" tint="0.79998168889431442"/>
          <bgColor theme="4" tint="0.79998168889431442"/>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Aptos Narrow"/>
        <family val="2"/>
        <scheme val="minor"/>
      </font>
      <numFmt numFmtId="168" formatCode="0.00000%"/>
      <fill>
        <patternFill patternType="solid">
          <fgColor theme="4" tint="0.79998168889431442"/>
          <bgColor theme="4" tint="0.79998168889431442"/>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Aptos Narrow"/>
        <family val="2"/>
        <scheme val="minor"/>
      </font>
      <numFmt numFmtId="167" formatCode="0.0000%"/>
      <fill>
        <patternFill patternType="solid">
          <fgColor theme="4" tint="0.79998168889431442"/>
          <bgColor theme="4" tint="0.79998168889431442"/>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Aptos Narrow"/>
        <family val="2"/>
        <scheme val="minor"/>
      </font>
      <numFmt numFmtId="167" formatCode="0.00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numFmt numFmtId="14" formatCode="0.00%"/>
      <fill>
        <patternFill patternType="solid">
          <fgColor theme="4" tint="0.79998168889431442"/>
          <bgColor theme="4" tint="0.79998168889431442"/>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Aptos Narrow"/>
        <family val="2"/>
        <scheme val="minor"/>
      </font>
      <numFmt numFmtId="166" formatCode="0.000%"/>
      <fill>
        <patternFill patternType="solid">
          <fgColor theme="4" tint="0.79998168889431442"/>
          <bgColor theme="4" tint="0.79998168889431442"/>
        </patternFill>
      </fill>
      <border diagonalUp="0" diagonalDown="0">
        <left/>
        <right/>
        <top style="thin">
          <color theme="4" tint="0.39997558519241921"/>
        </top>
        <bottom/>
        <vertical/>
        <horizontal/>
      </border>
    </dxf>
    <dxf>
      <numFmt numFmtId="164" formatCode="[$₹-439]#,##0.00"/>
      <fill>
        <patternFill patternType="solid">
          <fgColor theme="4" tint="0.79998168889431442"/>
          <bgColor theme="4" tint="0.79998168889431442"/>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Aptos Narrow"/>
        <family val="2"/>
        <scheme val="minor"/>
      </font>
      <numFmt numFmtId="164" formatCode="[$₹-439]#,##0.00"/>
      <fill>
        <patternFill patternType="solid">
          <fgColor theme="4" tint="0.79998168889431442"/>
          <bgColor theme="4" tint="0.79998168889431442"/>
        </patternFill>
      </fill>
      <border diagonalUp="0" diagonalDown="0">
        <left/>
        <right/>
        <top style="thin">
          <color theme="4" tint="0.39997558519241921"/>
        </top>
        <bottom/>
        <vertical/>
        <horizontal/>
      </border>
    </dxf>
    <dxf>
      <fill>
        <patternFill patternType="solid">
          <fgColor theme="4" tint="0.79998168889431442"/>
          <bgColor theme="4" tint="0.79998168889431442"/>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ill>
        <patternFill patternType="solid">
          <fgColor theme="4" tint="0.79998168889431442"/>
          <bgColor theme="4" tint="0.79998168889431442"/>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ill>
        <patternFill patternType="solid">
          <fgColor theme="4" tint="0.79998168889431442"/>
          <bgColor theme="4" tint="0.79998168889431442"/>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numFmt numFmtId="164" formatCode="[$₹-439]#,##0.00"/>
      <fill>
        <patternFill patternType="solid">
          <fgColor theme="4" tint="0.79998168889431442"/>
          <bgColor theme="4" tint="0.79998168889431442"/>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Aptos Narrow"/>
        <family val="2"/>
        <scheme val="minor"/>
      </font>
      <numFmt numFmtId="164" formatCode="[$₹-439]#,##0.00"/>
      <fill>
        <patternFill patternType="solid">
          <fgColor theme="4" tint="0.79998168889431442"/>
          <bgColor theme="4" tint="0.79998168889431442"/>
        </patternFill>
      </fill>
      <border diagonalUp="0" diagonalDown="0">
        <left/>
        <right/>
        <top style="thin">
          <color theme="4" tint="0.39997558519241921"/>
        </top>
        <bottom/>
        <vertical/>
        <horizontal/>
      </border>
    </dxf>
    <dxf>
      <fill>
        <patternFill patternType="solid">
          <fgColor theme="4" tint="0.79998168889431442"/>
          <bgColor theme="4" tint="0.79998168889431442"/>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ill>
        <patternFill patternType="solid">
          <fgColor theme="4" tint="0.79998168889431442"/>
          <bgColor theme="4" tint="0.79998168889431442"/>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ill>
        <patternFill patternType="solid">
          <fgColor theme="4" tint="0.79998168889431442"/>
          <bgColor theme="4" tint="0.79998168889431442"/>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ill>
        <patternFill patternType="solid">
          <fgColor theme="4" tint="0.79998168889431442"/>
          <bgColor theme="4" tint="0.79998168889431442"/>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numFmt numFmtId="19" formatCode="m/d/yyyy"/>
      <fill>
        <patternFill patternType="solid">
          <fgColor theme="4" tint="0.79998168889431442"/>
          <bgColor theme="4" tint="0.79998168889431442"/>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Aptos Narrow"/>
        <family val="2"/>
        <scheme val="minor"/>
      </font>
      <numFmt numFmtId="19" formatCode="m/d/yyyy"/>
      <fill>
        <patternFill patternType="solid">
          <fgColor theme="4" tint="0.79998168889431442"/>
          <bgColor theme="4" tint="0.79998168889431442"/>
        </patternFill>
      </fill>
      <border diagonalUp="0" diagonalDown="0">
        <left/>
        <right/>
        <top style="thin">
          <color theme="4" tint="0.39997558519241921"/>
        </top>
        <bottom/>
        <vertical/>
        <horizontal/>
      </border>
    </dxf>
    <dxf>
      <fill>
        <patternFill patternType="solid">
          <fgColor theme="4" tint="0.79998168889431442"/>
          <bgColor theme="4" tint="0.79998168889431442"/>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ill>
        <patternFill patternType="solid">
          <fgColor theme="4" tint="0.79998168889431442"/>
          <bgColor theme="4" tint="0.79998168889431442"/>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ill>
        <patternFill patternType="solid">
          <fgColor theme="4" tint="0.79998168889431442"/>
          <bgColor theme="4" tint="0.79998168889431442"/>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dxf>
    <dxf>
      <font>
        <b/>
        <i val="0"/>
        <strike val="0"/>
        <condense val="0"/>
        <extend val="0"/>
        <outline val="0"/>
        <shadow val="0"/>
        <u val="none"/>
        <vertAlign val="baseline"/>
        <sz val="11"/>
        <color theme="0"/>
        <name val="Aptos Narrow"/>
        <family val="2"/>
        <scheme val="minor"/>
      </font>
      <numFmt numFmtId="164" formatCode="[$₹-439]#,##0.00"/>
      <fill>
        <patternFill patternType="solid">
          <fgColor theme="4"/>
          <bgColor theme="4"/>
        </patternFill>
      </fill>
    </dxf>
    <dxf>
      <fill>
        <patternFill>
          <bgColor theme="0" tint="-4.9989318521683403E-2"/>
        </patternFill>
      </fill>
    </dxf>
    <dxf>
      <font>
        <strike val="0"/>
        <name val="Segoe UI"/>
        <family val="2"/>
        <scheme val="none"/>
      </font>
      <fill>
        <patternFill>
          <bgColor theme="0" tint="-4.9989318521683403E-2"/>
        </patternFill>
      </fill>
      <border>
        <left style="thin">
          <color auto="1"/>
        </left>
        <right style="thin">
          <color auto="1"/>
        </right>
        <top style="thin">
          <color auto="1"/>
        </top>
        <bottom style="thin">
          <color auto="1"/>
        </bottom>
      </border>
    </dxf>
  </dxfs>
  <tableStyles count="2" defaultTableStyle="TableStyleMedium2" defaultPivotStyle="PivotStyleLight16">
    <tableStyle name="day type" pivot="0" table="0" count="1" xr9:uid="{38E3E878-39D9-4442-B4EA-AAE304A1368B}">
      <tableStyleElement type="wholeTable" dxfId="55"/>
    </tableStyle>
    <tableStyle name="Slicer Style 1" pivot="0" table="0" count="1" xr9:uid="{4FE7B0E0-BA79-42BD-B459-8C2100EB29A3}">
      <tableStyleElement type="wholeTable" dxfId="54"/>
    </tableStyle>
  </tableStyles>
  <colors>
    <mruColors>
      <color rgb="FFA3D9C9"/>
      <color rgb="FF13501B"/>
      <color rgb="FFE07A5F"/>
      <color rgb="FF0A7E8C"/>
    </mruColors>
  </colors>
  <extLst>
    <ext xmlns:x14="http://schemas.microsoft.com/office/spreadsheetml/2009/9/main" uri="{EB79DEF2-80B8-43e5-95BD-54CBDDF9020C}">
      <x14:slicerStyles defaultSlicerStyle="SlicerStyleLight1">
        <x14:slicerStyle name="day type"/>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[Digital-Marketing-Dashboard.xlsx]Pivot Engine!PivotTable2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ROMI</a:t>
            </a:r>
            <a:r>
              <a:rPr lang="en-US" baseline="0"/>
              <a:t> By Campaigns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Engine'!$B$12</c:f>
              <c:strCache>
                <c:ptCount val="1"/>
                <c:pt idx="0">
                  <c:v>Total</c:v>
                </c:pt>
              </c:strCache>
            </c:strRef>
          </c:tx>
          <c:spPr>
            <a:solidFill>
              <a:schemeClr val="accent1"/>
            </a:solidFill>
            <a:ln>
              <a:noFill/>
            </a:ln>
            <a:effectLst/>
          </c:spPr>
          <c:invertIfNegative val="0"/>
          <c:cat>
            <c:strRef>
              <c:f>'Pivot Engine'!$A$13:$A$24</c:f>
              <c:strCache>
                <c:ptCount val="11"/>
                <c:pt idx="0">
                  <c:v>youtube_blogger</c:v>
                </c:pt>
                <c:pt idx="1">
                  <c:v>facebook_retargeting</c:v>
                </c:pt>
                <c:pt idx="2">
                  <c:v>google_hot</c:v>
                </c:pt>
                <c:pt idx="3">
                  <c:v>instagram_tier1</c:v>
                </c:pt>
                <c:pt idx="4">
                  <c:v>instagram_blogger</c:v>
                </c:pt>
                <c:pt idx="5">
                  <c:v>banner_partner</c:v>
                </c:pt>
                <c:pt idx="6">
                  <c:v>facebook_tier1</c:v>
                </c:pt>
                <c:pt idx="7">
                  <c:v>Facebook_tier2</c:v>
                </c:pt>
                <c:pt idx="8">
                  <c:v>google_wide</c:v>
                </c:pt>
                <c:pt idx="9">
                  <c:v>instagram_tier2</c:v>
                </c:pt>
                <c:pt idx="10">
                  <c:v>facebook_lal</c:v>
                </c:pt>
              </c:strCache>
            </c:strRef>
          </c:cat>
          <c:val>
            <c:numRef>
              <c:f>'Pivot Engine'!$B$13:$B$24</c:f>
              <c:numCache>
                <c:formatCode>0.00</c:formatCode>
                <c:ptCount val="11"/>
                <c:pt idx="0">
                  <c:v>2.7732066438861067</c:v>
                </c:pt>
                <c:pt idx="1">
                  <c:v>1.0149608456936874</c:v>
                </c:pt>
                <c:pt idx="2">
                  <c:v>0.8381243993952131</c:v>
                </c:pt>
                <c:pt idx="3">
                  <c:v>0.77139683439674955</c:v>
                </c:pt>
                <c:pt idx="4">
                  <c:v>0.36754210796971321</c:v>
                </c:pt>
                <c:pt idx="5">
                  <c:v>0.22406168964072765</c:v>
                </c:pt>
                <c:pt idx="6">
                  <c:v>-6.565108704190907E-2</c:v>
                </c:pt>
                <c:pt idx="7">
                  <c:v>-0.26216420900040205</c:v>
                </c:pt>
                <c:pt idx="8">
                  <c:v>-0.33670273797532013</c:v>
                </c:pt>
                <c:pt idx="9">
                  <c:v>-0.37114135742616844</c:v>
                </c:pt>
                <c:pt idx="10">
                  <c:v>-0.88635885509615275</c:v>
                </c:pt>
              </c:numCache>
            </c:numRef>
          </c:val>
          <c:extLst>
            <c:ext xmlns:c16="http://schemas.microsoft.com/office/drawing/2014/chart" uri="{C3380CC4-5D6E-409C-BE32-E72D297353CC}">
              <c16:uniqueId val="{00000000-C603-4EC9-9D07-FE4A49598057}"/>
            </c:ext>
          </c:extLst>
        </c:ser>
        <c:dLbls>
          <c:showLegendKey val="0"/>
          <c:showVal val="0"/>
          <c:showCatName val="0"/>
          <c:showSerName val="0"/>
          <c:showPercent val="0"/>
          <c:showBubbleSize val="0"/>
        </c:dLbls>
        <c:gapWidth val="219"/>
        <c:overlap val="-27"/>
        <c:axId val="1032587872"/>
        <c:axId val="901016784"/>
      </c:barChart>
      <c:catAx>
        <c:axId val="1032587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1016784"/>
        <c:crosses val="autoZero"/>
        <c:auto val="1"/>
        <c:lblAlgn val="ctr"/>
        <c:lblOffset val="100"/>
        <c:noMultiLvlLbl val="0"/>
      </c:catAx>
      <c:valAx>
        <c:axId val="901016784"/>
        <c:scaling>
          <c:orientation val="minMax"/>
        </c:scaling>
        <c:delete val="1"/>
        <c:axPos val="l"/>
        <c:numFmt formatCode="0.00" sourceLinked="1"/>
        <c:majorTickMark val="none"/>
        <c:minorTickMark val="none"/>
        <c:tickLblPos val="nextTo"/>
        <c:crossAx val="1032587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[Digital-Marketing-Dashboard.xlsx]Pivot Engine!PivotTable1</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Engine'!$B$97</c:f>
              <c:strCache>
                <c:ptCount val="1"/>
                <c:pt idx="0">
                  <c:v>Average Revenue</c:v>
                </c:pt>
              </c:strCache>
            </c:strRef>
          </c:tx>
          <c:spPr>
            <a:solidFill>
              <a:schemeClr val="accent1"/>
            </a:solidFill>
            <a:ln>
              <a:noFill/>
            </a:ln>
            <a:effectLst/>
          </c:spPr>
          <c:invertIfNegative val="0"/>
          <c:cat>
            <c:strRef>
              <c:f>'Pivot Engine'!$A$98:$A$99</c:f>
              <c:strCache>
                <c:ptCount val="2"/>
                <c:pt idx="0">
                  <c:v>Weekday</c:v>
                </c:pt>
                <c:pt idx="1">
                  <c:v>Weekend</c:v>
                </c:pt>
              </c:strCache>
            </c:strRef>
          </c:cat>
          <c:val>
            <c:numRef>
              <c:f>'Pivot Engine'!$B$98:$B$99</c:f>
              <c:numCache>
                <c:formatCode>[$₹-439]#,##0.00</c:formatCode>
                <c:ptCount val="2"/>
                <c:pt idx="0">
                  <c:v>141914.24090909091</c:v>
                </c:pt>
                <c:pt idx="1">
                  <c:v>132593.55681818182</c:v>
                </c:pt>
              </c:numCache>
            </c:numRef>
          </c:val>
          <c:extLst>
            <c:ext xmlns:c16="http://schemas.microsoft.com/office/drawing/2014/chart" uri="{C3380CC4-5D6E-409C-BE32-E72D297353CC}">
              <c16:uniqueId val="{00000000-E553-4CF5-8BEE-97B85E1DCD5E}"/>
            </c:ext>
          </c:extLst>
        </c:ser>
        <c:dLbls>
          <c:showLegendKey val="0"/>
          <c:showVal val="0"/>
          <c:showCatName val="0"/>
          <c:showSerName val="0"/>
          <c:showPercent val="0"/>
          <c:showBubbleSize val="0"/>
        </c:dLbls>
        <c:gapWidth val="219"/>
        <c:axId val="1540930576"/>
        <c:axId val="1532062416"/>
      </c:barChart>
      <c:lineChart>
        <c:grouping val="standard"/>
        <c:varyColors val="0"/>
        <c:ser>
          <c:idx val="1"/>
          <c:order val="1"/>
          <c:tx>
            <c:strRef>
              <c:f>'Pivot Engine'!$C$97</c:f>
              <c:strCache>
                <c:ptCount val="1"/>
                <c:pt idx="0">
                  <c:v>Average Orders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Engine'!$A$98:$A$99</c:f>
              <c:strCache>
                <c:ptCount val="2"/>
                <c:pt idx="0">
                  <c:v>Weekday</c:v>
                </c:pt>
                <c:pt idx="1">
                  <c:v>Weekend</c:v>
                </c:pt>
              </c:strCache>
            </c:strRef>
          </c:cat>
          <c:val>
            <c:numRef>
              <c:f>'Pivot Engine'!$C$98:$C$99</c:f>
              <c:numCache>
                <c:formatCode>0.00</c:formatCode>
                <c:ptCount val="2"/>
                <c:pt idx="0">
                  <c:v>26.195454545454545</c:v>
                </c:pt>
                <c:pt idx="1">
                  <c:v>25.90909090909091</c:v>
                </c:pt>
              </c:numCache>
            </c:numRef>
          </c:val>
          <c:smooth val="0"/>
          <c:extLst>
            <c:ext xmlns:c16="http://schemas.microsoft.com/office/drawing/2014/chart" uri="{C3380CC4-5D6E-409C-BE32-E72D297353CC}">
              <c16:uniqueId val="{00000001-E553-4CF5-8BEE-97B85E1DCD5E}"/>
            </c:ext>
          </c:extLst>
        </c:ser>
        <c:ser>
          <c:idx val="2"/>
          <c:order val="2"/>
          <c:tx>
            <c:strRef>
              <c:f>'Pivot Engine'!$D$97</c:f>
              <c:strCache>
                <c:ptCount val="1"/>
                <c:pt idx="0">
                  <c:v>Average Clicks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 Engine'!$A$98:$A$99</c:f>
              <c:strCache>
                <c:ptCount val="2"/>
                <c:pt idx="0">
                  <c:v>Weekday</c:v>
                </c:pt>
                <c:pt idx="1">
                  <c:v>Weekend</c:v>
                </c:pt>
              </c:strCache>
            </c:strRef>
          </c:cat>
          <c:val>
            <c:numRef>
              <c:f>'Pivot Engine'!$D$98:$D$99</c:f>
              <c:numCache>
                <c:formatCode>0.00</c:formatCode>
                <c:ptCount val="2"/>
                <c:pt idx="0">
                  <c:v>10049.604545454546</c:v>
                </c:pt>
                <c:pt idx="1">
                  <c:v>8965.9772727272721</c:v>
                </c:pt>
              </c:numCache>
            </c:numRef>
          </c:val>
          <c:smooth val="0"/>
          <c:extLst>
            <c:ext xmlns:c16="http://schemas.microsoft.com/office/drawing/2014/chart" uri="{C3380CC4-5D6E-409C-BE32-E72D297353CC}">
              <c16:uniqueId val="{00000002-E553-4CF5-8BEE-97B85E1DCD5E}"/>
            </c:ext>
          </c:extLst>
        </c:ser>
        <c:dLbls>
          <c:showLegendKey val="0"/>
          <c:showVal val="0"/>
          <c:showCatName val="0"/>
          <c:showSerName val="0"/>
          <c:showPercent val="0"/>
          <c:showBubbleSize val="0"/>
        </c:dLbls>
        <c:marker val="1"/>
        <c:smooth val="0"/>
        <c:axId val="1540945888"/>
        <c:axId val="1532069136"/>
      </c:lineChart>
      <c:catAx>
        <c:axId val="1540930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2062416"/>
        <c:crosses val="autoZero"/>
        <c:auto val="1"/>
        <c:lblAlgn val="ctr"/>
        <c:lblOffset val="100"/>
        <c:noMultiLvlLbl val="0"/>
      </c:catAx>
      <c:valAx>
        <c:axId val="1532062416"/>
        <c:scaling>
          <c:orientation val="minMax"/>
        </c:scaling>
        <c:delete val="0"/>
        <c:axPos val="l"/>
        <c:majorGridlines>
          <c:spPr>
            <a:ln w="9525" cap="flat" cmpd="sng" algn="ctr">
              <a:solidFill>
                <a:schemeClr val="tx1">
                  <a:lumMod val="15000"/>
                  <a:lumOff val="85000"/>
                </a:schemeClr>
              </a:solidFill>
              <a:round/>
            </a:ln>
            <a:effectLst/>
          </c:spPr>
        </c:majorGridlines>
        <c:numFmt formatCode="[$₹-43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0930576"/>
        <c:crosses val="autoZero"/>
        <c:crossBetween val="between"/>
      </c:valAx>
      <c:valAx>
        <c:axId val="1532069136"/>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0945888"/>
        <c:crosses val="max"/>
        <c:crossBetween val="between"/>
      </c:valAx>
      <c:catAx>
        <c:axId val="1540945888"/>
        <c:scaling>
          <c:orientation val="minMax"/>
        </c:scaling>
        <c:delete val="1"/>
        <c:axPos val="b"/>
        <c:numFmt formatCode="General" sourceLinked="1"/>
        <c:majorTickMark val="out"/>
        <c:minorTickMark val="none"/>
        <c:tickLblPos val="nextTo"/>
        <c:crossAx val="153206913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[Digital-Marketing-Dashboard.xlsx]Pivot Engine!PivotTable7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The</a:t>
            </a:r>
            <a:r>
              <a:rPr lang="en-US" baseline="0"/>
              <a:t> Big Spender &amp; Big Earner Date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Engine'!$B$29</c:f>
              <c:strCache>
                <c:ptCount val="1"/>
                <c:pt idx="0">
                  <c:v>Total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Engine'!$A$30:$A$58</c:f>
              <c:strCache>
                <c:ptCount val="28"/>
                <c:pt idx="0">
                  <c:v>2/1/2021</c:v>
                </c:pt>
                <c:pt idx="1">
                  <c:v>2/2/2021</c:v>
                </c:pt>
                <c:pt idx="2">
                  <c:v>2/3/2021</c:v>
                </c:pt>
                <c:pt idx="3">
                  <c:v>2/4/2021</c:v>
                </c:pt>
                <c:pt idx="4">
                  <c:v>2/5/2021</c:v>
                </c:pt>
                <c:pt idx="5">
                  <c:v>2/6/2021</c:v>
                </c:pt>
                <c:pt idx="6">
                  <c:v>2/7/2021</c:v>
                </c:pt>
                <c:pt idx="7">
                  <c:v>2/8/2021</c:v>
                </c:pt>
                <c:pt idx="8">
                  <c:v>2/9/2021</c:v>
                </c:pt>
                <c:pt idx="9">
                  <c:v>2/10/2021</c:v>
                </c:pt>
                <c:pt idx="10">
                  <c:v>2/11/2021</c:v>
                </c:pt>
                <c:pt idx="11">
                  <c:v>2/12/2021</c:v>
                </c:pt>
                <c:pt idx="12">
                  <c:v>2/13/2021</c:v>
                </c:pt>
                <c:pt idx="13">
                  <c:v>2/14/2021</c:v>
                </c:pt>
                <c:pt idx="14">
                  <c:v>2/15/2021</c:v>
                </c:pt>
                <c:pt idx="15">
                  <c:v>2/16/2021</c:v>
                </c:pt>
                <c:pt idx="16">
                  <c:v>2/17/2021</c:v>
                </c:pt>
                <c:pt idx="17">
                  <c:v>2/18/2021</c:v>
                </c:pt>
                <c:pt idx="18">
                  <c:v>2/19/2021</c:v>
                </c:pt>
                <c:pt idx="19">
                  <c:v>2/20/2021</c:v>
                </c:pt>
                <c:pt idx="20">
                  <c:v>2/21/2021</c:v>
                </c:pt>
                <c:pt idx="21">
                  <c:v>2/22/2021</c:v>
                </c:pt>
                <c:pt idx="22">
                  <c:v>2/23/2021</c:v>
                </c:pt>
                <c:pt idx="23">
                  <c:v>2/24/2021</c:v>
                </c:pt>
                <c:pt idx="24">
                  <c:v>2/25/2021</c:v>
                </c:pt>
                <c:pt idx="25">
                  <c:v>2/26/2021</c:v>
                </c:pt>
                <c:pt idx="26">
                  <c:v>2/27/2021</c:v>
                </c:pt>
                <c:pt idx="27">
                  <c:v>2/28/2021</c:v>
                </c:pt>
              </c:strCache>
            </c:strRef>
          </c:cat>
          <c:val>
            <c:numRef>
              <c:f>'Pivot Engine'!$B$30:$B$58</c:f>
              <c:numCache>
                <c:formatCode>[$₹-439]#,##0.00</c:formatCode>
                <c:ptCount val="28"/>
                <c:pt idx="0">
                  <c:v>182676</c:v>
                </c:pt>
                <c:pt idx="1">
                  <c:v>316369</c:v>
                </c:pt>
                <c:pt idx="2">
                  <c:v>1583142</c:v>
                </c:pt>
                <c:pt idx="3">
                  <c:v>1633899</c:v>
                </c:pt>
                <c:pt idx="4">
                  <c:v>2704723</c:v>
                </c:pt>
                <c:pt idx="5">
                  <c:v>416199</c:v>
                </c:pt>
                <c:pt idx="6">
                  <c:v>434647</c:v>
                </c:pt>
                <c:pt idx="7">
                  <c:v>308655</c:v>
                </c:pt>
                <c:pt idx="8">
                  <c:v>437923</c:v>
                </c:pt>
                <c:pt idx="9">
                  <c:v>811363</c:v>
                </c:pt>
                <c:pt idx="10">
                  <c:v>1563209</c:v>
                </c:pt>
                <c:pt idx="11">
                  <c:v>1657464</c:v>
                </c:pt>
                <c:pt idx="12">
                  <c:v>2802893</c:v>
                </c:pt>
                <c:pt idx="13">
                  <c:v>2197128</c:v>
                </c:pt>
                <c:pt idx="14">
                  <c:v>2795172</c:v>
                </c:pt>
                <c:pt idx="15">
                  <c:v>3620594</c:v>
                </c:pt>
                <c:pt idx="16">
                  <c:v>4139131</c:v>
                </c:pt>
                <c:pt idx="17">
                  <c:v>2659560</c:v>
                </c:pt>
                <c:pt idx="18">
                  <c:v>4973240</c:v>
                </c:pt>
                <c:pt idx="19">
                  <c:v>5261521</c:v>
                </c:pt>
                <c:pt idx="20">
                  <c:v>436892</c:v>
                </c:pt>
                <c:pt idx="21">
                  <c:v>893154</c:v>
                </c:pt>
                <c:pt idx="22">
                  <c:v>162649</c:v>
                </c:pt>
                <c:pt idx="23">
                  <c:v>440159</c:v>
                </c:pt>
                <c:pt idx="24">
                  <c:v>99303</c:v>
                </c:pt>
                <c:pt idx="25">
                  <c:v>238748</c:v>
                </c:pt>
                <c:pt idx="26">
                  <c:v>42789</c:v>
                </c:pt>
                <c:pt idx="27">
                  <c:v>76164</c:v>
                </c:pt>
              </c:numCache>
            </c:numRef>
          </c:val>
          <c:smooth val="0"/>
          <c:extLst>
            <c:ext xmlns:c16="http://schemas.microsoft.com/office/drawing/2014/chart" uri="{C3380CC4-5D6E-409C-BE32-E72D297353CC}">
              <c16:uniqueId val="{00000000-E7BD-440E-9978-EBC7CA46209A}"/>
            </c:ext>
          </c:extLst>
        </c:ser>
        <c:ser>
          <c:idx val="1"/>
          <c:order val="1"/>
          <c:tx>
            <c:strRef>
              <c:f>'Pivot Engine'!$C$29</c:f>
              <c:strCache>
                <c:ptCount val="1"/>
                <c:pt idx="0">
                  <c:v>Total Mark spent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Engine'!$A$30:$A$58</c:f>
              <c:strCache>
                <c:ptCount val="28"/>
                <c:pt idx="0">
                  <c:v>2/1/2021</c:v>
                </c:pt>
                <c:pt idx="1">
                  <c:v>2/2/2021</c:v>
                </c:pt>
                <c:pt idx="2">
                  <c:v>2/3/2021</c:v>
                </c:pt>
                <c:pt idx="3">
                  <c:v>2/4/2021</c:v>
                </c:pt>
                <c:pt idx="4">
                  <c:v>2/5/2021</c:v>
                </c:pt>
                <c:pt idx="5">
                  <c:v>2/6/2021</c:v>
                </c:pt>
                <c:pt idx="6">
                  <c:v>2/7/2021</c:v>
                </c:pt>
                <c:pt idx="7">
                  <c:v>2/8/2021</c:v>
                </c:pt>
                <c:pt idx="8">
                  <c:v>2/9/2021</c:v>
                </c:pt>
                <c:pt idx="9">
                  <c:v>2/10/2021</c:v>
                </c:pt>
                <c:pt idx="10">
                  <c:v>2/11/2021</c:v>
                </c:pt>
                <c:pt idx="11">
                  <c:v>2/12/2021</c:v>
                </c:pt>
                <c:pt idx="12">
                  <c:v>2/13/2021</c:v>
                </c:pt>
                <c:pt idx="13">
                  <c:v>2/14/2021</c:v>
                </c:pt>
                <c:pt idx="14">
                  <c:v>2/15/2021</c:v>
                </c:pt>
                <c:pt idx="15">
                  <c:v>2/16/2021</c:v>
                </c:pt>
                <c:pt idx="16">
                  <c:v>2/17/2021</c:v>
                </c:pt>
                <c:pt idx="17">
                  <c:v>2/18/2021</c:v>
                </c:pt>
                <c:pt idx="18">
                  <c:v>2/19/2021</c:v>
                </c:pt>
                <c:pt idx="19">
                  <c:v>2/20/2021</c:v>
                </c:pt>
                <c:pt idx="20">
                  <c:v>2/21/2021</c:v>
                </c:pt>
                <c:pt idx="21">
                  <c:v>2/22/2021</c:v>
                </c:pt>
                <c:pt idx="22">
                  <c:v>2/23/2021</c:v>
                </c:pt>
                <c:pt idx="23">
                  <c:v>2/24/2021</c:v>
                </c:pt>
                <c:pt idx="24">
                  <c:v>2/25/2021</c:v>
                </c:pt>
                <c:pt idx="25">
                  <c:v>2/26/2021</c:v>
                </c:pt>
                <c:pt idx="26">
                  <c:v>2/27/2021</c:v>
                </c:pt>
                <c:pt idx="27">
                  <c:v>2/28/2021</c:v>
                </c:pt>
              </c:strCache>
            </c:strRef>
          </c:cat>
          <c:val>
            <c:numRef>
              <c:f>'Pivot Engine'!$C$30:$C$58</c:f>
              <c:numCache>
                <c:formatCode>[$₹-439]#,##0.00</c:formatCode>
                <c:ptCount val="28"/>
                <c:pt idx="0">
                  <c:v>120844.71999999999</c:v>
                </c:pt>
                <c:pt idx="1">
                  <c:v>189064.91000000003</c:v>
                </c:pt>
                <c:pt idx="2">
                  <c:v>922808.01000000013</c:v>
                </c:pt>
                <c:pt idx="3">
                  <c:v>1168337.3499999999</c:v>
                </c:pt>
                <c:pt idx="4">
                  <c:v>1883989.74</c:v>
                </c:pt>
                <c:pt idx="5">
                  <c:v>305983.26</c:v>
                </c:pt>
                <c:pt idx="6">
                  <c:v>306417.68</c:v>
                </c:pt>
                <c:pt idx="7">
                  <c:v>228203.44999999998</c:v>
                </c:pt>
                <c:pt idx="8">
                  <c:v>313716.54000000004</c:v>
                </c:pt>
                <c:pt idx="9">
                  <c:v>729951.8</c:v>
                </c:pt>
                <c:pt idx="10">
                  <c:v>919245.87</c:v>
                </c:pt>
                <c:pt idx="11">
                  <c:v>1155208.8000000003</c:v>
                </c:pt>
                <c:pt idx="12">
                  <c:v>1825406.8800000004</c:v>
                </c:pt>
                <c:pt idx="13">
                  <c:v>1881081.54</c:v>
                </c:pt>
                <c:pt idx="14">
                  <c:v>1941196.56</c:v>
                </c:pt>
                <c:pt idx="15">
                  <c:v>3035499</c:v>
                </c:pt>
                <c:pt idx="16">
                  <c:v>3271291.5</c:v>
                </c:pt>
                <c:pt idx="17">
                  <c:v>2158494.2000000002</c:v>
                </c:pt>
                <c:pt idx="18">
                  <c:v>3091011.34</c:v>
                </c:pt>
                <c:pt idx="19">
                  <c:v>3499171.7</c:v>
                </c:pt>
                <c:pt idx="20">
                  <c:v>301515.38</c:v>
                </c:pt>
                <c:pt idx="21">
                  <c:v>583694.38</c:v>
                </c:pt>
                <c:pt idx="22">
                  <c:v>117842.87</c:v>
                </c:pt>
                <c:pt idx="23">
                  <c:v>369238</c:v>
                </c:pt>
                <c:pt idx="24">
                  <c:v>66706.05</c:v>
                </c:pt>
                <c:pt idx="25">
                  <c:v>122692.88999999998</c:v>
                </c:pt>
                <c:pt idx="26">
                  <c:v>28902.73</c:v>
                </c:pt>
                <c:pt idx="27">
                  <c:v>53362.670000000006</c:v>
                </c:pt>
              </c:numCache>
            </c:numRef>
          </c:val>
          <c:smooth val="0"/>
          <c:extLst>
            <c:ext xmlns:c16="http://schemas.microsoft.com/office/drawing/2014/chart" uri="{C3380CC4-5D6E-409C-BE32-E72D297353CC}">
              <c16:uniqueId val="{00000001-E7BD-440E-9978-EBC7CA46209A}"/>
            </c:ext>
          </c:extLst>
        </c:ser>
        <c:dLbls>
          <c:showLegendKey val="0"/>
          <c:showVal val="0"/>
          <c:showCatName val="0"/>
          <c:showSerName val="0"/>
          <c:showPercent val="0"/>
          <c:showBubbleSize val="0"/>
        </c:dLbls>
        <c:marker val="1"/>
        <c:smooth val="0"/>
        <c:axId val="1540938000"/>
        <c:axId val="1532046096"/>
      </c:lineChart>
      <c:catAx>
        <c:axId val="1540938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2046096"/>
        <c:crosses val="autoZero"/>
        <c:auto val="1"/>
        <c:lblAlgn val="ctr"/>
        <c:lblOffset val="100"/>
        <c:noMultiLvlLbl val="0"/>
      </c:catAx>
      <c:valAx>
        <c:axId val="1532046096"/>
        <c:scaling>
          <c:orientation val="minMax"/>
        </c:scaling>
        <c:delete val="0"/>
        <c:axPos val="l"/>
        <c:numFmt formatCode="[$₹-43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0938000"/>
        <c:crosses val="autoZero"/>
        <c:crossBetween val="between"/>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[Digital-Marketing-Dashboard.xlsx]Pivot Engine!PivotTable5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Conversion</a:t>
            </a:r>
            <a:r>
              <a:rPr lang="en-US" baseline="0"/>
              <a:t> Rates By Date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Engine'!$B$61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Engine'!$A$62:$A$90</c:f>
              <c:strCache>
                <c:ptCount val="28"/>
                <c:pt idx="0">
                  <c:v>2/25/2021</c:v>
                </c:pt>
                <c:pt idx="1">
                  <c:v>2/19/2021</c:v>
                </c:pt>
                <c:pt idx="2">
                  <c:v>2/2/2021</c:v>
                </c:pt>
                <c:pt idx="3">
                  <c:v>2/24/2021</c:v>
                </c:pt>
                <c:pt idx="4">
                  <c:v>2/17/2021</c:v>
                </c:pt>
                <c:pt idx="5">
                  <c:v>2/13/2021</c:v>
                </c:pt>
                <c:pt idx="6">
                  <c:v>2/22/2021</c:v>
                </c:pt>
                <c:pt idx="7">
                  <c:v>2/11/2021</c:v>
                </c:pt>
                <c:pt idx="8">
                  <c:v>2/4/2021</c:v>
                </c:pt>
                <c:pt idx="9">
                  <c:v>2/9/2021</c:v>
                </c:pt>
                <c:pt idx="10">
                  <c:v>2/28/2021</c:v>
                </c:pt>
                <c:pt idx="11">
                  <c:v>2/20/2021</c:v>
                </c:pt>
                <c:pt idx="12">
                  <c:v>2/21/2021</c:v>
                </c:pt>
                <c:pt idx="13">
                  <c:v>2/12/2021</c:v>
                </c:pt>
                <c:pt idx="14">
                  <c:v>2/5/2021</c:v>
                </c:pt>
                <c:pt idx="15">
                  <c:v>2/16/2021</c:v>
                </c:pt>
                <c:pt idx="16">
                  <c:v>2/3/2021</c:v>
                </c:pt>
                <c:pt idx="17">
                  <c:v>2/6/2021</c:v>
                </c:pt>
                <c:pt idx="18">
                  <c:v>2/23/2021</c:v>
                </c:pt>
                <c:pt idx="19">
                  <c:v>2/26/2021</c:v>
                </c:pt>
                <c:pt idx="20">
                  <c:v>2/15/2021</c:v>
                </c:pt>
                <c:pt idx="21">
                  <c:v>2/10/2021</c:v>
                </c:pt>
                <c:pt idx="22">
                  <c:v>2/8/2021</c:v>
                </c:pt>
                <c:pt idx="23">
                  <c:v>2/14/2021</c:v>
                </c:pt>
                <c:pt idx="24">
                  <c:v>2/7/2021</c:v>
                </c:pt>
                <c:pt idx="25">
                  <c:v>2/27/2021</c:v>
                </c:pt>
                <c:pt idx="26">
                  <c:v>2/1/2021</c:v>
                </c:pt>
                <c:pt idx="27">
                  <c:v>2/18/2021</c:v>
                </c:pt>
              </c:strCache>
            </c:strRef>
          </c:cat>
          <c:val>
            <c:numRef>
              <c:f>'Pivot Engine'!$B$62:$B$90</c:f>
              <c:numCache>
                <c:formatCode>General</c:formatCode>
                <c:ptCount val="28"/>
                <c:pt idx="0">
                  <c:v>0.15037593984962405</c:v>
                </c:pt>
                <c:pt idx="1">
                  <c:v>0.14321947920189382</c:v>
                </c:pt>
                <c:pt idx="2">
                  <c:v>0.13989637305699482</c:v>
                </c:pt>
                <c:pt idx="3">
                  <c:v>0.13777089783281735</c:v>
                </c:pt>
                <c:pt idx="4">
                  <c:v>0.13239953309988328</c:v>
                </c:pt>
                <c:pt idx="5">
                  <c:v>0.13165829145728644</c:v>
                </c:pt>
                <c:pt idx="6">
                  <c:v>0.1316225165562914</c:v>
                </c:pt>
                <c:pt idx="7">
                  <c:v>0.13157894736842105</c:v>
                </c:pt>
                <c:pt idx="8">
                  <c:v>0.13121604680317592</c:v>
                </c:pt>
                <c:pt idx="9">
                  <c:v>0.12792511700468018</c:v>
                </c:pt>
                <c:pt idx="10">
                  <c:v>0.12745098039215685</c:v>
                </c:pt>
                <c:pt idx="11">
                  <c:v>0.12657757980697848</c:v>
                </c:pt>
                <c:pt idx="12">
                  <c:v>0.12647058823529411</c:v>
                </c:pt>
                <c:pt idx="13">
                  <c:v>0.12575090108129755</c:v>
                </c:pt>
                <c:pt idx="14">
                  <c:v>0.12559492332099417</c:v>
                </c:pt>
                <c:pt idx="15">
                  <c:v>0.12195981670778992</c:v>
                </c:pt>
                <c:pt idx="16">
                  <c:v>0.1196319018404908</c:v>
                </c:pt>
                <c:pt idx="17">
                  <c:v>0.11942675159235669</c:v>
                </c:pt>
                <c:pt idx="18">
                  <c:v>0.1166077738515901</c:v>
                </c:pt>
                <c:pt idx="19">
                  <c:v>0.1165644171779141</c:v>
                </c:pt>
                <c:pt idx="20">
                  <c:v>0.11360634081902246</c:v>
                </c:pt>
                <c:pt idx="21">
                  <c:v>0.11359623307828134</c:v>
                </c:pt>
                <c:pt idx="22">
                  <c:v>0.11320754716981132</c:v>
                </c:pt>
                <c:pt idx="23">
                  <c:v>0.1114032990676548</c:v>
                </c:pt>
                <c:pt idx="24">
                  <c:v>0.10683229813664596</c:v>
                </c:pt>
                <c:pt idx="25">
                  <c:v>0.1</c:v>
                </c:pt>
                <c:pt idx="26">
                  <c:v>9.0090090090090086E-2</c:v>
                </c:pt>
                <c:pt idx="27">
                  <c:v>8.9547098329602198E-2</c:v>
                </c:pt>
              </c:numCache>
            </c:numRef>
          </c:val>
          <c:smooth val="0"/>
          <c:extLst>
            <c:ext xmlns:c16="http://schemas.microsoft.com/office/drawing/2014/chart" uri="{C3380CC4-5D6E-409C-BE32-E72D297353CC}">
              <c16:uniqueId val="{00000000-F117-448B-8A5B-DD081C4A8EEA}"/>
            </c:ext>
          </c:extLst>
        </c:ser>
        <c:dLbls>
          <c:showLegendKey val="0"/>
          <c:showVal val="0"/>
          <c:showCatName val="0"/>
          <c:showSerName val="0"/>
          <c:showPercent val="0"/>
          <c:showBubbleSize val="0"/>
        </c:dLbls>
        <c:marker val="1"/>
        <c:smooth val="0"/>
        <c:axId val="244445824"/>
        <c:axId val="1532039856"/>
      </c:lineChart>
      <c:catAx>
        <c:axId val="244445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2039856"/>
        <c:crosses val="autoZero"/>
        <c:auto val="1"/>
        <c:lblAlgn val="ctr"/>
        <c:lblOffset val="100"/>
        <c:noMultiLvlLbl val="0"/>
      </c:catAx>
      <c:valAx>
        <c:axId val="1532039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4445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[Digital-Marketing-Dashboard.xlsx]Pivot Engine!PivotTable8</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Best</a:t>
            </a:r>
            <a:r>
              <a:rPr lang="en-US" baseline="0"/>
              <a:t> Campaign Measure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Engine'!$B$113</c:f>
              <c:strCache>
                <c:ptCount val="1"/>
                <c:pt idx="0">
                  <c:v>Total Revenue</c:v>
                </c:pt>
              </c:strCache>
            </c:strRef>
          </c:tx>
          <c:spPr>
            <a:solidFill>
              <a:schemeClr val="accent1"/>
            </a:solidFill>
            <a:ln>
              <a:noFill/>
            </a:ln>
            <a:effectLst/>
          </c:spPr>
          <c:invertIfNegative val="0"/>
          <c:cat>
            <c:strRef>
              <c:f>'Pivot Engine'!$A$114:$A$117</c:f>
              <c:strCache>
                <c:ptCount val="4"/>
                <c:pt idx="0">
                  <c:v>influencer</c:v>
                </c:pt>
                <c:pt idx="1">
                  <c:v>media</c:v>
                </c:pt>
                <c:pt idx="2">
                  <c:v>search</c:v>
                </c:pt>
                <c:pt idx="3">
                  <c:v>social</c:v>
                </c:pt>
              </c:strCache>
            </c:strRef>
          </c:cat>
          <c:val>
            <c:numRef>
              <c:f>'Pivot Engine'!$B$114:$B$117</c:f>
              <c:numCache>
                <c:formatCode>[$₹-439]#,##0.00</c:formatCode>
                <c:ptCount val="4"/>
                <c:pt idx="0">
                  <c:v>21119887</c:v>
                </c:pt>
                <c:pt idx="1">
                  <c:v>6152960</c:v>
                </c:pt>
                <c:pt idx="2">
                  <c:v>3705065</c:v>
                </c:pt>
                <c:pt idx="3">
                  <c:v>11911454</c:v>
                </c:pt>
              </c:numCache>
            </c:numRef>
          </c:val>
          <c:extLst>
            <c:ext xmlns:c16="http://schemas.microsoft.com/office/drawing/2014/chart" uri="{C3380CC4-5D6E-409C-BE32-E72D297353CC}">
              <c16:uniqueId val="{00000000-84FA-4DC5-84B6-BD9634430837}"/>
            </c:ext>
          </c:extLst>
        </c:ser>
        <c:ser>
          <c:idx val="1"/>
          <c:order val="1"/>
          <c:tx>
            <c:strRef>
              <c:f>'Pivot Engine'!$C$113</c:f>
              <c:strCache>
                <c:ptCount val="1"/>
                <c:pt idx="0">
                  <c:v>Total Mark spent</c:v>
                </c:pt>
              </c:strCache>
            </c:strRef>
          </c:tx>
          <c:spPr>
            <a:solidFill>
              <a:schemeClr val="accent2"/>
            </a:solidFill>
            <a:ln>
              <a:noFill/>
            </a:ln>
            <a:effectLst/>
          </c:spPr>
          <c:invertIfNegative val="0"/>
          <c:cat>
            <c:strRef>
              <c:f>'Pivot Engine'!$A$114:$A$117</c:f>
              <c:strCache>
                <c:ptCount val="4"/>
                <c:pt idx="0">
                  <c:v>influencer</c:v>
                </c:pt>
                <c:pt idx="1">
                  <c:v>media</c:v>
                </c:pt>
                <c:pt idx="2">
                  <c:v>search</c:v>
                </c:pt>
                <c:pt idx="3">
                  <c:v>social</c:v>
                </c:pt>
              </c:strCache>
            </c:strRef>
          </c:cat>
          <c:val>
            <c:numRef>
              <c:f>'Pivot Engine'!$C$114:$C$117</c:f>
              <c:numCache>
                <c:formatCode>[$₹-439]#,##0.00</c:formatCode>
                <c:ptCount val="4"/>
                <c:pt idx="0">
                  <c:v>8305304.080000001</c:v>
                </c:pt>
                <c:pt idx="1">
                  <c:v>5026674.7600000007</c:v>
                </c:pt>
                <c:pt idx="2">
                  <c:v>3460400.0700000008</c:v>
                </c:pt>
                <c:pt idx="3">
                  <c:v>13798500.909999993</c:v>
                </c:pt>
              </c:numCache>
            </c:numRef>
          </c:val>
          <c:extLst>
            <c:ext xmlns:c16="http://schemas.microsoft.com/office/drawing/2014/chart" uri="{C3380CC4-5D6E-409C-BE32-E72D297353CC}">
              <c16:uniqueId val="{00000001-84FA-4DC5-84B6-BD9634430837}"/>
            </c:ext>
          </c:extLst>
        </c:ser>
        <c:dLbls>
          <c:showLegendKey val="0"/>
          <c:showVal val="0"/>
          <c:showCatName val="0"/>
          <c:showSerName val="0"/>
          <c:showPercent val="0"/>
          <c:showBubbleSize val="0"/>
        </c:dLbls>
        <c:gapWidth val="219"/>
        <c:axId val="1541009456"/>
        <c:axId val="1532104176"/>
      </c:barChart>
      <c:barChart>
        <c:barDir val="col"/>
        <c:grouping val="clustered"/>
        <c:varyColors val="0"/>
        <c:ser>
          <c:idx val="2"/>
          <c:order val="2"/>
          <c:tx>
            <c:strRef>
              <c:f>'Pivot Engine'!$D$113</c:f>
              <c:strCache>
                <c:ptCount val="1"/>
                <c:pt idx="0">
                  <c:v>True_ROMI %</c:v>
                </c:pt>
              </c:strCache>
            </c:strRef>
          </c:tx>
          <c:spPr>
            <a:solidFill>
              <a:schemeClr val="accent3"/>
            </a:solidFill>
            <a:ln>
              <a:noFill/>
            </a:ln>
            <a:effectLst/>
          </c:spPr>
          <c:invertIfNegative val="0"/>
          <c:cat>
            <c:strRef>
              <c:f>'Pivot Engine'!$A$114:$A$117</c:f>
              <c:strCache>
                <c:ptCount val="4"/>
                <c:pt idx="0">
                  <c:v>influencer</c:v>
                </c:pt>
                <c:pt idx="1">
                  <c:v>media</c:v>
                </c:pt>
                <c:pt idx="2">
                  <c:v>search</c:v>
                </c:pt>
                <c:pt idx="3">
                  <c:v>social</c:v>
                </c:pt>
              </c:strCache>
            </c:strRef>
          </c:cat>
          <c:val>
            <c:numRef>
              <c:f>'Pivot Engine'!$D$114:$D$117</c:f>
              <c:numCache>
                <c:formatCode>0.00%</c:formatCode>
                <c:ptCount val="4"/>
                <c:pt idx="0">
                  <c:v>1.5429396439389607</c:v>
                </c:pt>
                <c:pt idx="1">
                  <c:v>0.22406168964072765</c:v>
                </c:pt>
                <c:pt idx="2">
                  <c:v>7.0704232184343699E-2</c:v>
                </c:pt>
                <c:pt idx="3">
                  <c:v>-0.13675738562530512</c:v>
                </c:pt>
              </c:numCache>
            </c:numRef>
          </c:val>
          <c:extLst>
            <c:ext xmlns:c16="http://schemas.microsoft.com/office/drawing/2014/chart" uri="{C3380CC4-5D6E-409C-BE32-E72D297353CC}">
              <c16:uniqueId val="{00000002-84FA-4DC5-84B6-BD9634430837}"/>
            </c:ext>
          </c:extLst>
        </c:ser>
        <c:dLbls>
          <c:showLegendKey val="0"/>
          <c:showVal val="0"/>
          <c:showCatName val="0"/>
          <c:showSerName val="0"/>
          <c:showPercent val="0"/>
          <c:showBubbleSize val="0"/>
        </c:dLbls>
        <c:gapWidth val="219"/>
        <c:axId val="722971600"/>
        <c:axId val="1532071536"/>
      </c:barChart>
      <c:catAx>
        <c:axId val="1541009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2104176"/>
        <c:crosses val="autoZero"/>
        <c:auto val="1"/>
        <c:lblAlgn val="ctr"/>
        <c:lblOffset val="100"/>
        <c:noMultiLvlLbl val="0"/>
      </c:catAx>
      <c:valAx>
        <c:axId val="1532104176"/>
        <c:scaling>
          <c:orientation val="minMax"/>
        </c:scaling>
        <c:delete val="0"/>
        <c:axPos val="l"/>
        <c:numFmt formatCode="[$₹-43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1009456"/>
        <c:crosses val="autoZero"/>
        <c:crossBetween val="between"/>
      </c:valAx>
      <c:valAx>
        <c:axId val="1532071536"/>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2971600"/>
        <c:crosses val="max"/>
        <c:crossBetween val="between"/>
      </c:valAx>
      <c:catAx>
        <c:axId val="722971600"/>
        <c:scaling>
          <c:orientation val="minMax"/>
        </c:scaling>
        <c:delete val="1"/>
        <c:axPos val="b"/>
        <c:numFmt formatCode="General" sourceLinked="1"/>
        <c:majorTickMark val="out"/>
        <c:minorTickMark val="none"/>
        <c:tickLblPos val="nextTo"/>
        <c:crossAx val="153207153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[Digital-Marketing-Dashboard.xlsx]Pivot Engine!PivotTable9</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Best</a:t>
            </a:r>
            <a:r>
              <a:rPr lang="en-US" baseline="0"/>
              <a:t> Geographical Location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Engine'!$B$127</c:f>
              <c:strCache>
                <c:ptCount val="1"/>
                <c:pt idx="0">
                  <c:v>Total Revenue</c:v>
                </c:pt>
              </c:strCache>
            </c:strRef>
          </c:tx>
          <c:spPr>
            <a:solidFill>
              <a:schemeClr val="accent1"/>
            </a:solidFill>
            <a:ln>
              <a:noFill/>
            </a:ln>
            <a:effectLst/>
          </c:spPr>
          <c:invertIfNegative val="0"/>
          <c:cat>
            <c:strRef>
              <c:f>'Pivot Engine'!$A$128:$A$129</c:f>
              <c:strCache>
                <c:ptCount val="2"/>
                <c:pt idx="0">
                  <c:v>Tier 1</c:v>
                </c:pt>
                <c:pt idx="1">
                  <c:v>Tier 2</c:v>
                </c:pt>
              </c:strCache>
            </c:strRef>
          </c:cat>
          <c:val>
            <c:numRef>
              <c:f>'Pivot Engine'!$B$128:$B$129</c:f>
              <c:numCache>
                <c:formatCode>[$₹-439]#,##0.00</c:formatCode>
                <c:ptCount val="2"/>
                <c:pt idx="0">
                  <c:v>6940536</c:v>
                </c:pt>
                <c:pt idx="1">
                  <c:v>35948830</c:v>
                </c:pt>
              </c:numCache>
            </c:numRef>
          </c:val>
          <c:extLst>
            <c:ext xmlns:c16="http://schemas.microsoft.com/office/drawing/2014/chart" uri="{C3380CC4-5D6E-409C-BE32-E72D297353CC}">
              <c16:uniqueId val="{00000000-9BA7-42E2-B77B-69D688C2967D}"/>
            </c:ext>
          </c:extLst>
        </c:ser>
        <c:ser>
          <c:idx val="1"/>
          <c:order val="1"/>
          <c:tx>
            <c:strRef>
              <c:f>'Pivot Engine'!$C$127</c:f>
              <c:strCache>
                <c:ptCount val="1"/>
                <c:pt idx="0">
                  <c:v>Total Mark spent</c:v>
                </c:pt>
              </c:strCache>
            </c:strRef>
          </c:tx>
          <c:spPr>
            <a:solidFill>
              <a:schemeClr val="accent2"/>
            </a:solidFill>
            <a:ln>
              <a:noFill/>
            </a:ln>
            <a:effectLst/>
          </c:spPr>
          <c:invertIfNegative val="0"/>
          <c:cat>
            <c:strRef>
              <c:f>'Pivot Engine'!$A$128:$A$129</c:f>
              <c:strCache>
                <c:ptCount val="2"/>
                <c:pt idx="0">
                  <c:v>Tier 1</c:v>
                </c:pt>
                <c:pt idx="1">
                  <c:v>Tier 2</c:v>
                </c:pt>
              </c:strCache>
            </c:strRef>
          </c:cat>
          <c:val>
            <c:numRef>
              <c:f>'Pivot Engine'!$C$128:$C$129</c:f>
              <c:numCache>
                <c:formatCode>[$₹-439]#,##0.00</c:formatCode>
                <c:ptCount val="2"/>
                <c:pt idx="0">
                  <c:v>5130070.7300000023</c:v>
                </c:pt>
                <c:pt idx="1">
                  <c:v>25460809.09</c:v>
                </c:pt>
              </c:numCache>
            </c:numRef>
          </c:val>
          <c:extLst>
            <c:ext xmlns:c16="http://schemas.microsoft.com/office/drawing/2014/chart" uri="{C3380CC4-5D6E-409C-BE32-E72D297353CC}">
              <c16:uniqueId val="{00000001-9BA7-42E2-B77B-69D688C2967D}"/>
            </c:ext>
          </c:extLst>
        </c:ser>
        <c:dLbls>
          <c:showLegendKey val="0"/>
          <c:showVal val="0"/>
          <c:showCatName val="0"/>
          <c:showSerName val="0"/>
          <c:showPercent val="0"/>
          <c:showBubbleSize val="0"/>
        </c:dLbls>
        <c:gapWidth val="219"/>
        <c:axId val="722955360"/>
        <c:axId val="1531988496"/>
      </c:barChart>
      <c:barChart>
        <c:barDir val="col"/>
        <c:grouping val="clustered"/>
        <c:varyColors val="0"/>
        <c:ser>
          <c:idx val="2"/>
          <c:order val="2"/>
          <c:tx>
            <c:strRef>
              <c:f>'Pivot Engine'!$D$127</c:f>
              <c:strCache>
                <c:ptCount val="1"/>
                <c:pt idx="0">
                  <c:v>True_ROMI %</c:v>
                </c:pt>
              </c:strCache>
            </c:strRef>
          </c:tx>
          <c:spPr>
            <a:solidFill>
              <a:schemeClr val="accent3"/>
            </a:solidFill>
            <a:ln>
              <a:noFill/>
            </a:ln>
            <a:effectLst/>
          </c:spPr>
          <c:invertIfNegative val="0"/>
          <c:cat>
            <c:strRef>
              <c:f>'Pivot Engine'!$A$128:$A$129</c:f>
              <c:strCache>
                <c:ptCount val="2"/>
                <c:pt idx="0">
                  <c:v>Tier 1</c:v>
                </c:pt>
                <c:pt idx="1">
                  <c:v>Tier 2</c:v>
                </c:pt>
              </c:strCache>
            </c:strRef>
          </c:cat>
          <c:val>
            <c:numRef>
              <c:f>'Pivot Engine'!$D$128:$D$129</c:f>
              <c:numCache>
                <c:formatCode>0.00%</c:formatCode>
                <c:ptCount val="2"/>
                <c:pt idx="0">
                  <c:v>0.35291234084018114</c:v>
                </c:pt>
                <c:pt idx="1">
                  <c:v>0.41192802918895771</c:v>
                </c:pt>
              </c:numCache>
            </c:numRef>
          </c:val>
          <c:extLst>
            <c:ext xmlns:c16="http://schemas.microsoft.com/office/drawing/2014/chart" uri="{C3380CC4-5D6E-409C-BE32-E72D297353CC}">
              <c16:uniqueId val="{00000002-9BA7-42E2-B77B-69D688C2967D}"/>
            </c:ext>
          </c:extLst>
        </c:ser>
        <c:dLbls>
          <c:showLegendKey val="0"/>
          <c:showVal val="0"/>
          <c:showCatName val="0"/>
          <c:showSerName val="0"/>
          <c:showPercent val="0"/>
          <c:showBubbleSize val="0"/>
        </c:dLbls>
        <c:gapWidth val="219"/>
        <c:axId val="722943296"/>
        <c:axId val="1531989456"/>
      </c:barChart>
      <c:catAx>
        <c:axId val="722955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1988496"/>
        <c:crosses val="autoZero"/>
        <c:auto val="1"/>
        <c:lblAlgn val="ctr"/>
        <c:lblOffset val="100"/>
        <c:noMultiLvlLbl val="0"/>
      </c:catAx>
      <c:valAx>
        <c:axId val="1531988496"/>
        <c:scaling>
          <c:orientation val="minMax"/>
        </c:scaling>
        <c:delete val="0"/>
        <c:axPos val="l"/>
        <c:numFmt formatCode="[$₹-43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2955360"/>
        <c:crosses val="autoZero"/>
        <c:crossBetween val="between"/>
      </c:valAx>
      <c:valAx>
        <c:axId val="1531989456"/>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2943296"/>
        <c:crosses val="max"/>
        <c:crossBetween val="between"/>
      </c:valAx>
      <c:catAx>
        <c:axId val="722943296"/>
        <c:scaling>
          <c:orientation val="minMax"/>
        </c:scaling>
        <c:delete val="1"/>
        <c:axPos val="b"/>
        <c:numFmt formatCode="General" sourceLinked="1"/>
        <c:majorTickMark val="out"/>
        <c:minorTickMark val="none"/>
        <c:tickLblPos val="nextTo"/>
        <c:crossAx val="153198945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[Digital-Marketing-Dashboard.xlsx]Pivot Engine!PivotTable2</c:name>
    <c:fmtId val="9"/>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Segoe UI" panose="020B0502040204020203" pitchFamily="34" charset="0"/>
                <a:ea typeface="+mn-ea"/>
                <a:cs typeface="Segoe UI" panose="020B0502040204020203" pitchFamily="34" charset="0"/>
              </a:defRPr>
            </a:pPr>
            <a:r>
              <a:rPr lang="en-US" b="1">
                <a:solidFill>
                  <a:sysClr val="windowText" lastClr="000000"/>
                </a:solidFill>
                <a:latin typeface="Segoe UI" panose="020B0502040204020203" pitchFamily="34" charset="0"/>
                <a:cs typeface="Segoe UI" panose="020B0502040204020203" pitchFamily="34" charset="0"/>
              </a:rPr>
              <a:t>ROMI</a:t>
            </a:r>
            <a:r>
              <a:rPr lang="en-US" b="1" baseline="0">
                <a:solidFill>
                  <a:sysClr val="windowText" lastClr="000000"/>
                </a:solidFill>
                <a:latin typeface="Segoe UI" panose="020B0502040204020203" pitchFamily="34" charset="0"/>
                <a:cs typeface="Segoe UI" panose="020B0502040204020203" pitchFamily="34" charset="0"/>
              </a:rPr>
              <a:t> By Campaigns</a:t>
            </a:r>
            <a:endParaRPr lang="en-US" b="1">
              <a:solidFill>
                <a:sysClr val="windowText" lastClr="000000"/>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Engine'!$B$12</c:f>
              <c:strCache>
                <c:ptCount val="1"/>
                <c:pt idx="0">
                  <c:v>Total</c:v>
                </c:pt>
              </c:strCache>
            </c:strRef>
          </c:tx>
          <c:spPr>
            <a:solidFill>
              <a:schemeClr val="accent6">
                <a:lumMod val="75000"/>
              </a:schemeClr>
            </a:solidFill>
            <a:ln>
              <a:noFill/>
            </a:ln>
            <a:effectLst/>
          </c:spPr>
          <c:invertIfNegative val="0"/>
          <c:cat>
            <c:strRef>
              <c:f>'Pivot Engine'!$A$13:$A$24</c:f>
              <c:strCache>
                <c:ptCount val="11"/>
                <c:pt idx="0">
                  <c:v>youtube_blogger</c:v>
                </c:pt>
                <c:pt idx="1">
                  <c:v>facebook_retargeting</c:v>
                </c:pt>
                <c:pt idx="2">
                  <c:v>google_hot</c:v>
                </c:pt>
                <c:pt idx="3">
                  <c:v>instagram_tier1</c:v>
                </c:pt>
                <c:pt idx="4">
                  <c:v>instagram_blogger</c:v>
                </c:pt>
                <c:pt idx="5">
                  <c:v>banner_partner</c:v>
                </c:pt>
                <c:pt idx="6">
                  <c:v>facebook_tier1</c:v>
                </c:pt>
                <c:pt idx="7">
                  <c:v>Facebook_tier2</c:v>
                </c:pt>
                <c:pt idx="8">
                  <c:v>google_wide</c:v>
                </c:pt>
                <c:pt idx="9">
                  <c:v>instagram_tier2</c:v>
                </c:pt>
                <c:pt idx="10">
                  <c:v>facebook_lal</c:v>
                </c:pt>
              </c:strCache>
            </c:strRef>
          </c:cat>
          <c:val>
            <c:numRef>
              <c:f>'Pivot Engine'!$B$13:$B$24</c:f>
              <c:numCache>
                <c:formatCode>0.00</c:formatCode>
                <c:ptCount val="11"/>
                <c:pt idx="0">
                  <c:v>2.7732066438861067</c:v>
                </c:pt>
                <c:pt idx="1">
                  <c:v>1.0149608456936874</c:v>
                </c:pt>
                <c:pt idx="2">
                  <c:v>0.8381243993952131</c:v>
                </c:pt>
                <c:pt idx="3">
                  <c:v>0.77139683439674955</c:v>
                </c:pt>
                <c:pt idx="4">
                  <c:v>0.36754210796971321</c:v>
                </c:pt>
                <c:pt idx="5">
                  <c:v>0.22406168964072765</c:v>
                </c:pt>
                <c:pt idx="6">
                  <c:v>-6.565108704190907E-2</c:v>
                </c:pt>
                <c:pt idx="7">
                  <c:v>-0.26216420900040205</c:v>
                </c:pt>
                <c:pt idx="8">
                  <c:v>-0.33670273797532013</c:v>
                </c:pt>
                <c:pt idx="9">
                  <c:v>-0.37114135742616844</c:v>
                </c:pt>
                <c:pt idx="10">
                  <c:v>-0.88635885509615275</c:v>
                </c:pt>
              </c:numCache>
            </c:numRef>
          </c:val>
          <c:extLst>
            <c:ext xmlns:c16="http://schemas.microsoft.com/office/drawing/2014/chart" uri="{C3380CC4-5D6E-409C-BE32-E72D297353CC}">
              <c16:uniqueId val="{00000000-F440-4DB6-9A5B-AC2599B95622}"/>
            </c:ext>
          </c:extLst>
        </c:ser>
        <c:dLbls>
          <c:showLegendKey val="0"/>
          <c:showVal val="0"/>
          <c:showCatName val="0"/>
          <c:showSerName val="0"/>
          <c:showPercent val="0"/>
          <c:showBubbleSize val="0"/>
        </c:dLbls>
        <c:gapWidth val="219"/>
        <c:overlap val="-27"/>
        <c:axId val="1032587872"/>
        <c:axId val="901016784"/>
      </c:barChart>
      <c:catAx>
        <c:axId val="1032587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1" i="0" u="none" strike="noStrike" kern="1200" baseline="0">
                <a:solidFill>
                  <a:sysClr val="windowText" lastClr="000000"/>
                </a:solidFill>
                <a:latin typeface="+mn-lt"/>
                <a:ea typeface="+mn-ea"/>
                <a:cs typeface="Segoe UI" panose="020B0502040204020203" pitchFamily="34" charset="0"/>
              </a:defRPr>
            </a:pPr>
            <a:endParaRPr lang="en-US"/>
          </a:p>
        </c:txPr>
        <c:crossAx val="901016784"/>
        <c:crosses val="autoZero"/>
        <c:auto val="1"/>
        <c:lblAlgn val="ctr"/>
        <c:lblOffset val="100"/>
        <c:noMultiLvlLbl val="0"/>
      </c:catAx>
      <c:valAx>
        <c:axId val="901016784"/>
        <c:scaling>
          <c:orientation val="minMax"/>
        </c:scaling>
        <c:delete val="1"/>
        <c:axPos val="l"/>
        <c:numFmt formatCode="0.00" sourceLinked="1"/>
        <c:majorTickMark val="none"/>
        <c:minorTickMark val="none"/>
        <c:tickLblPos val="nextTo"/>
        <c:crossAx val="1032587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[Digital-Marketing-Dashboard.xlsx]Pivot Engine!PivotTable7</c:name>
    <c:fmtId val="11"/>
  </c:pivotSource>
  <c:chart>
    <c:title>
      <c:tx>
        <c:rich>
          <a:bodyPr rot="0" spcFirstLastPara="1" vertOverflow="ellipsis" vert="horz" wrap="square" anchor="ctr" anchorCtr="1"/>
          <a:lstStyle/>
          <a:p>
            <a:pPr>
              <a:defRPr lang="en-US" sz="1200" b="1" i="0" u="none" strike="noStrike" kern="1200" spc="0" baseline="0">
                <a:solidFill>
                  <a:schemeClr val="tx1"/>
                </a:solidFill>
                <a:latin typeface="Segoe UI" panose="020B0502040204020203" pitchFamily="34" charset="0"/>
                <a:ea typeface="+mn-ea"/>
                <a:cs typeface="Segoe UI" panose="020B0502040204020203" pitchFamily="34" charset="0"/>
              </a:defRPr>
            </a:pPr>
            <a:r>
              <a:rPr lang="en-US" sz="1200" b="1">
                <a:latin typeface="Segoe UI" panose="020B0502040204020203" pitchFamily="34" charset="0"/>
                <a:cs typeface="Segoe UI" panose="020B0502040204020203" pitchFamily="34" charset="0"/>
              </a:rPr>
              <a:t>The Big Spender &amp; Big Earner Date</a:t>
            </a:r>
          </a:p>
        </c:rich>
      </c:tx>
      <c:overlay val="0"/>
      <c:spPr>
        <a:noFill/>
        <a:ln>
          <a:noFill/>
        </a:ln>
        <a:effectLst/>
      </c:spPr>
      <c:txPr>
        <a:bodyPr rot="0" spcFirstLastPara="1" vertOverflow="ellipsis" vert="horz" wrap="square" anchor="ctr" anchorCtr="1"/>
        <a:lstStyle/>
        <a:p>
          <a:pPr>
            <a:defRPr lang="en-US" sz="1200" b="1" i="0" u="none" strike="noStrike" kern="1200" spc="0" baseline="0">
              <a:solidFill>
                <a:schemeClr val="tx1"/>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rgbClr val="0A7E8C">
                <a:alpha val="0"/>
              </a:srgb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rgbClr val="E07A5F">
                <a:alpha val="0"/>
              </a:srgbClr>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Engine'!$B$29</c:f>
              <c:strCache>
                <c:ptCount val="1"/>
                <c:pt idx="0">
                  <c:v>Total Revenue</c:v>
                </c:pt>
              </c:strCache>
            </c:strRef>
          </c:tx>
          <c:spPr>
            <a:ln w="28575" cap="rnd">
              <a:solidFill>
                <a:schemeClr val="accent1"/>
              </a:solidFill>
              <a:round/>
            </a:ln>
            <a:effectLst/>
          </c:spPr>
          <c:marker>
            <c:symbol val="circle"/>
            <c:size val="5"/>
            <c:spPr>
              <a:solidFill>
                <a:srgbClr val="0A7E8C">
                  <a:alpha val="0"/>
                </a:srgbClr>
              </a:solidFill>
              <a:ln w="9525">
                <a:solidFill>
                  <a:schemeClr val="accent1"/>
                </a:solidFill>
              </a:ln>
              <a:effectLst/>
            </c:spPr>
          </c:marker>
          <c:cat>
            <c:strRef>
              <c:f>'Pivot Engine'!$A$30:$A$58</c:f>
              <c:strCache>
                <c:ptCount val="28"/>
                <c:pt idx="0">
                  <c:v>2/1/2021</c:v>
                </c:pt>
                <c:pt idx="1">
                  <c:v>2/2/2021</c:v>
                </c:pt>
                <c:pt idx="2">
                  <c:v>2/3/2021</c:v>
                </c:pt>
                <c:pt idx="3">
                  <c:v>2/4/2021</c:v>
                </c:pt>
                <c:pt idx="4">
                  <c:v>2/5/2021</c:v>
                </c:pt>
                <c:pt idx="5">
                  <c:v>2/6/2021</c:v>
                </c:pt>
                <c:pt idx="6">
                  <c:v>2/7/2021</c:v>
                </c:pt>
                <c:pt idx="7">
                  <c:v>2/8/2021</c:v>
                </c:pt>
                <c:pt idx="8">
                  <c:v>2/9/2021</c:v>
                </c:pt>
                <c:pt idx="9">
                  <c:v>2/10/2021</c:v>
                </c:pt>
                <c:pt idx="10">
                  <c:v>2/11/2021</c:v>
                </c:pt>
                <c:pt idx="11">
                  <c:v>2/12/2021</c:v>
                </c:pt>
                <c:pt idx="12">
                  <c:v>2/13/2021</c:v>
                </c:pt>
                <c:pt idx="13">
                  <c:v>2/14/2021</c:v>
                </c:pt>
                <c:pt idx="14">
                  <c:v>2/15/2021</c:v>
                </c:pt>
                <c:pt idx="15">
                  <c:v>2/16/2021</c:v>
                </c:pt>
                <c:pt idx="16">
                  <c:v>2/17/2021</c:v>
                </c:pt>
                <c:pt idx="17">
                  <c:v>2/18/2021</c:v>
                </c:pt>
                <c:pt idx="18">
                  <c:v>2/19/2021</c:v>
                </c:pt>
                <c:pt idx="19">
                  <c:v>2/20/2021</c:v>
                </c:pt>
                <c:pt idx="20">
                  <c:v>2/21/2021</c:v>
                </c:pt>
                <c:pt idx="21">
                  <c:v>2/22/2021</c:v>
                </c:pt>
                <c:pt idx="22">
                  <c:v>2/23/2021</c:v>
                </c:pt>
                <c:pt idx="23">
                  <c:v>2/24/2021</c:v>
                </c:pt>
                <c:pt idx="24">
                  <c:v>2/25/2021</c:v>
                </c:pt>
                <c:pt idx="25">
                  <c:v>2/26/2021</c:v>
                </c:pt>
                <c:pt idx="26">
                  <c:v>2/27/2021</c:v>
                </c:pt>
                <c:pt idx="27">
                  <c:v>2/28/2021</c:v>
                </c:pt>
              </c:strCache>
            </c:strRef>
          </c:cat>
          <c:val>
            <c:numRef>
              <c:f>'Pivot Engine'!$B$30:$B$58</c:f>
              <c:numCache>
                <c:formatCode>[$₹-439]#,##0.00</c:formatCode>
                <c:ptCount val="28"/>
                <c:pt idx="0">
                  <c:v>182676</c:v>
                </c:pt>
                <c:pt idx="1">
                  <c:v>316369</c:v>
                </c:pt>
                <c:pt idx="2">
                  <c:v>1583142</c:v>
                </c:pt>
                <c:pt idx="3">
                  <c:v>1633899</c:v>
                </c:pt>
                <c:pt idx="4">
                  <c:v>2704723</c:v>
                </c:pt>
                <c:pt idx="5">
                  <c:v>416199</c:v>
                </c:pt>
                <c:pt idx="6">
                  <c:v>434647</c:v>
                </c:pt>
                <c:pt idx="7">
                  <c:v>308655</c:v>
                </c:pt>
                <c:pt idx="8">
                  <c:v>437923</c:v>
                </c:pt>
                <c:pt idx="9">
                  <c:v>811363</c:v>
                </c:pt>
                <c:pt idx="10">
                  <c:v>1563209</c:v>
                </c:pt>
                <c:pt idx="11">
                  <c:v>1657464</c:v>
                </c:pt>
                <c:pt idx="12">
                  <c:v>2802893</c:v>
                </c:pt>
                <c:pt idx="13">
                  <c:v>2197128</c:v>
                </c:pt>
                <c:pt idx="14">
                  <c:v>2795172</c:v>
                </c:pt>
                <c:pt idx="15">
                  <c:v>3620594</c:v>
                </c:pt>
                <c:pt idx="16">
                  <c:v>4139131</c:v>
                </c:pt>
                <c:pt idx="17">
                  <c:v>2659560</c:v>
                </c:pt>
                <c:pt idx="18">
                  <c:v>4973240</c:v>
                </c:pt>
                <c:pt idx="19">
                  <c:v>5261521</c:v>
                </c:pt>
                <c:pt idx="20">
                  <c:v>436892</c:v>
                </c:pt>
                <c:pt idx="21">
                  <c:v>893154</c:v>
                </c:pt>
                <c:pt idx="22">
                  <c:v>162649</c:v>
                </c:pt>
                <c:pt idx="23">
                  <c:v>440159</c:v>
                </c:pt>
                <c:pt idx="24">
                  <c:v>99303</c:v>
                </c:pt>
                <c:pt idx="25">
                  <c:v>238748</c:v>
                </c:pt>
                <c:pt idx="26">
                  <c:v>42789</c:v>
                </c:pt>
                <c:pt idx="27">
                  <c:v>76164</c:v>
                </c:pt>
              </c:numCache>
            </c:numRef>
          </c:val>
          <c:smooth val="0"/>
          <c:extLst>
            <c:ext xmlns:c16="http://schemas.microsoft.com/office/drawing/2014/chart" uri="{C3380CC4-5D6E-409C-BE32-E72D297353CC}">
              <c16:uniqueId val="{00000000-AA7E-435E-A52B-BDD0723080E6}"/>
            </c:ext>
          </c:extLst>
        </c:ser>
        <c:ser>
          <c:idx val="1"/>
          <c:order val="1"/>
          <c:tx>
            <c:strRef>
              <c:f>'Pivot Engine'!$C$29</c:f>
              <c:strCache>
                <c:ptCount val="1"/>
                <c:pt idx="0">
                  <c:v>Total Mark spent</c:v>
                </c:pt>
              </c:strCache>
            </c:strRef>
          </c:tx>
          <c:spPr>
            <a:ln w="28575" cap="rnd">
              <a:solidFill>
                <a:schemeClr val="accent2"/>
              </a:solidFill>
              <a:round/>
            </a:ln>
            <a:effectLst/>
          </c:spPr>
          <c:marker>
            <c:symbol val="circle"/>
            <c:size val="5"/>
            <c:spPr>
              <a:solidFill>
                <a:srgbClr val="E07A5F">
                  <a:alpha val="0"/>
                </a:srgbClr>
              </a:solidFill>
              <a:ln w="9525">
                <a:solidFill>
                  <a:schemeClr val="accent2"/>
                </a:solidFill>
              </a:ln>
              <a:effectLst/>
            </c:spPr>
          </c:marker>
          <c:cat>
            <c:strRef>
              <c:f>'Pivot Engine'!$A$30:$A$58</c:f>
              <c:strCache>
                <c:ptCount val="28"/>
                <c:pt idx="0">
                  <c:v>2/1/2021</c:v>
                </c:pt>
                <c:pt idx="1">
                  <c:v>2/2/2021</c:v>
                </c:pt>
                <c:pt idx="2">
                  <c:v>2/3/2021</c:v>
                </c:pt>
                <c:pt idx="3">
                  <c:v>2/4/2021</c:v>
                </c:pt>
                <c:pt idx="4">
                  <c:v>2/5/2021</c:v>
                </c:pt>
                <c:pt idx="5">
                  <c:v>2/6/2021</c:v>
                </c:pt>
                <c:pt idx="6">
                  <c:v>2/7/2021</c:v>
                </c:pt>
                <c:pt idx="7">
                  <c:v>2/8/2021</c:v>
                </c:pt>
                <c:pt idx="8">
                  <c:v>2/9/2021</c:v>
                </c:pt>
                <c:pt idx="9">
                  <c:v>2/10/2021</c:v>
                </c:pt>
                <c:pt idx="10">
                  <c:v>2/11/2021</c:v>
                </c:pt>
                <c:pt idx="11">
                  <c:v>2/12/2021</c:v>
                </c:pt>
                <c:pt idx="12">
                  <c:v>2/13/2021</c:v>
                </c:pt>
                <c:pt idx="13">
                  <c:v>2/14/2021</c:v>
                </c:pt>
                <c:pt idx="14">
                  <c:v>2/15/2021</c:v>
                </c:pt>
                <c:pt idx="15">
                  <c:v>2/16/2021</c:v>
                </c:pt>
                <c:pt idx="16">
                  <c:v>2/17/2021</c:v>
                </c:pt>
                <c:pt idx="17">
                  <c:v>2/18/2021</c:v>
                </c:pt>
                <c:pt idx="18">
                  <c:v>2/19/2021</c:v>
                </c:pt>
                <c:pt idx="19">
                  <c:v>2/20/2021</c:v>
                </c:pt>
                <c:pt idx="20">
                  <c:v>2/21/2021</c:v>
                </c:pt>
                <c:pt idx="21">
                  <c:v>2/22/2021</c:v>
                </c:pt>
                <c:pt idx="22">
                  <c:v>2/23/2021</c:v>
                </c:pt>
                <c:pt idx="23">
                  <c:v>2/24/2021</c:v>
                </c:pt>
                <c:pt idx="24">
                  <c:v>2/25/2021</c:v>
                </c:pt>
                <c:pt idx="25">
                  <c:v>2/26/2021</c:v>
                </c:pt>
                <c:pt idx="26">
                  <c:v>2/27/2021</c:v>
                </c:pt>
                <c:pt idx="27">
                  <c:v>2/28/2021</c:v>
                </c:pt>
              </c:strCache>
            </c:strRef>
          </c:cat>
          <c:val>
            <c:numRef>
              <c:f>'Pivot Engine'!$C$30:$C$58</c:f>
              <c:numCache>
                <c:formatCode>[$₹-439]#,##0.00</c:formatCode>
                <c:ptCount val="28"/>
                <c:pt idx="0">
                  <c:v>120844.71999999999</c:v>
                </c:pt>
                <c:pt idx="1">
                  <c:v>189064.91000000003</c:v>
                </c:pt>
                <c:pt idx="2">
                  <c:v>922808.01000000013</c:v>
                </c:pt>
                <c:pt idx="3">
                  <c:v>1168337.3499999999</c:v>
                </c:pt>
                <c:pt idx="4">
                  <c:v>1883989.74</c:v>
                </c:pt>
                <c:pt idx="5">
                  <c:v>305983.26</c:v>
                </c:pt>
                <c:pt idx="6">
                  <c:v>306417.68</c:v>
                </c:pt>
                <c:pt idx="7">
                  <c:v>228203.44999999998</c:v>
                </c:pt>
                <c:pt idx="8">
                  <c:v>313716.54000000004</c:v>
                </c:pt>
                <c:pt idx="9">
                  <c:v>729951.8</c:v>
                </c:pt>
                <c:pt idx="10">
                  <c:v>919245.87</c:v>
                </c:pt>
                <c:pt idx="11">
                  <c:v>1155208.8000000003</c:v>
                </c:pt>
                <c:pt idx="12">
                  <c:v>1825406.8800000004</c:v>
                </c:pt>
                <c:pt idx="13">
                  <c:v>1881081.54</c:v>
                </c:pt>
                <c:pt idx="14">
                  <c:v>1941196.56</c:v>
                </c:pt>
                <c:pt idx="15">
                  <c:v>3035499</c:v>
                </c:pt>
                <c:pt idx="16">
                  <c:v>3271291.5</c:v>
                </c:pt>
                <c:pt idx="17">
                  <c:v>2158494.2000000002</c:v>
                </c:pt>
                <c:pt idx="18">
                  <c:v>3091011.34</c:v>
                </c:pt>
                <c:pt idx="19">
                  <c:v>3499171.7</c:v>
                </c:pt>
                <c:pt idx="20">
                  <c:v>301515.38</c:v>
                </c:pt>
                <c:pt idx="21">
                  <c:v>583694.38</c:v>
                </c:pt>
                <c:pt idx="22">
                  <c:v>117842.87</c:v>
                </c:pt>
                <c:pt idx="23">
                  <c:v>369238</c:v>
                </c:pt>
                <c:pt idx="24">
                  <c:v>66706.05</c:v>
                </c:pt>
                <c:pt idx="25">
                  <c:v>122692.88999999998</c:v>
                </c:pt>
                <c:pt idx="26">
                  <c:v>28902.73</c:v>
                </c:pt>
                <c:pt idx="27">
                  <c:v>53362.670000000006</c:v>
                </c:pt>
              </c:numCache>
            </c:numRef>
          </c:val>
          <c:smooth val="0"/>
          <c:extLst>
            <c:ext xmlns:c16="http://schemas.microsoft.com/office/drawing/2014/chart" uri="{C3380CC4-5D6E-409C-BE32-E72D297353CC}">
              <c16:uniqueId val="{00000001-AA7E-435E-A52B-BDD0723080E6}"/>
            </c:ext>
          </c:extLst>
        </c:ser>
        <c:dLbls>
          <c:showLegendKey val="0"/>
          <c:showVal val="0"/>
          <c:showCatName val="0"/>
          <c:showSerName val="0"/>
          <c:showPercent val="0"/>
          <c:showBubbleSize val="0"/>
        </c:dLbls>
        <c:marker val="1"/>
        <c:smooth val="0"/>
        <c:axId val="1540938000"/>
        <c:axId val="1532046096"/>
      </c:lineChart>
      <c:catAx>
        <c:axId val="1540938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600" b="1"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crossAx val="1532046096"/>
        <c:crosses val="autoZero"/>
        <c:auto val="1"/>
        <c:lblAlgn val="ctr"/>
        <c:lblOffset val="100"/>
        <c:noMultiLvlLbl val="0"/>
      </c:catAx>
      <c:valAx>
        <c:axId val="1532046096"/>
        <c:scaling>
          <c:orientation val="minMax"/>
        </c:scaling>
        <c:delete val="1"/>
        <c:axPos val="l"/>
        <c:numFmt formatCode="[$₹-439]#,##0.00" sourceLinked="1"/>
        <c:majorTickMark val="none"/>
        <c:minorTickMark val="none"/>
        <c:tickLblPos val="nextTo"/>
        <c:crossAx val="1540938000"/>
        <c:crosses val="autoZero"/>
        <c:crossBetween val="between"/>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lang="en-US" sz="900" b="1" i="0" u="none" strike="noStrike" kern="1200" baseline="0">
              <a:solidFill>
                <a:sysClr val="windowText" lastClr="000000"/>
              </a:solidFill>
              <a:latin typeface="+mn-lt"/>
              <a:ea typeface="+mn-ea"/>
              <a:cs typeface="Segoe UI" panose="020B05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lgn="ct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[Digital-Marketing-Dashboard.xlsx]Pivot Engine!PivotTable5</c:name>
    <c:fmtId val="11"/>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Segoe UI" panose="020B0502040204020203" pitchFamily="34" charset="0"/>
                <a:ea typeface="+mn-ea"/>
                <a:cs typeface="Segoe UI" panose="020B0502040204020203" pitchFamily="34" charset="0"/>
              </a:defRPr>
            </a:pPr>
            <a:r>
              <a:rPr lang="en-US" b="1">
                <a:solidFill>
                  <a:sysClr val="windowText" lastClr="000000"/>
                </a:solidFill>
                <a:latin typeface="Segoe UI" panose="020B0502040204020203" pitchFamily="34" charset="0"/>
                <a:cs typeface="Segoe UI" panose="020B0502040204020203" pitchFamily="34" charset="0"/>
              </a:rPr>
              <a:t>Conversion</a:t>
            </a:r>
            <a:r>
              <a:rPr lang="en-US" b="1" baseline="0">
                <a:solidFill>
                  <a:sysClr val="windowText" lastClr="000000"/>
                </a:solidFill>
                <a:latin typeface="Segoe UI" panose="020B0502040204020203" pitchFamily="34" charset="0"/>
                <a:cs typeface="Segoe UI" panose="020B0502040204020203" pitchFamily="34" charset="0"/>
              </a:rPr>
              <a:t> Rates By Date</a:t>
            </a:r>
            <a:endParaRPr lang="en-US" b="1">
              <a:solidFill>
                <a:sysClr val="windowText" lastClr="000000"/>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6">
                <a:lumMod val="75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Engine'!$B$61</c:f>
              <c:strCache>
                <c:ptCount val="1"/>
                <c:pt idx="0">
                  <c:v>Total</c:v>
                </c:pt>
              </c:strCache>
            </c:strRef>
          </c:tx>
          <c:spPr>
            <a:ln w="28575" cap="rnd">
              <a:solidFill>
                <a:schemeClr val="accent1"/>
              </a:solidFill>
              <a:round/>
            </a:ln>
            <a:effectLst/>
          </c:spPr>
          <c:marker>
            <c:symbol val="circle"/>
            <c:size val="5"/>
            <c:spPr>
              <a:solidFill>
                <a:schemeClr val="accent6">
                  <a:lumMod val="75000"/>
                </a:schemeClr>
              </a:solidFill>
              <a:ln w="9525">
                <a:solidFill>
                  <a:schemeClr val="accent1"/>
                </a:solidFill>
              </a:ln>
              <a:effectLst/>
            </c:spPr>
          </c:marker>
          <c:cat>
            <c:strRef>
              <c:f>'Pivot Engine'!$A$62:$A$90</c:f>
              <c:strCache>
                <c:ptCount val="28"/>
                <c:pt idx="0">
                  <c:v>2/25/2021</c:v>
                </c:pt>
                <c:pt idx="1">
                  <c:v>2/19/2021</c:v>
                </c:pt>
                <c:pt idx="2">
                  <c:v>2/2/2021</c:v>
                </c:pt>
                <c:pt idx="3">
                  <c:v>2/24/2021</c:v>
                </c:pt>
                <c:pt idx="4">
                  <c:v>2/17/2021</c:v>
                </c:pt>
                <c:pt idx="5">
                  <c:v>2/13/2021</c:v>
                </c:pt>
                <c:pt idx="6">
                  <c:v>2/22/2021</c:v>
                </c:pt>
                <c:pt idx="7">
                  <c:v>2/11/2021</c:v>
                </c:pt>
                <c:pt idx="8">
                  <c:v>2/4/2021</c:v>
                </c:pt>
                <c:pt idx="9">
                  <c:v>2/9/2021</c:v>
                </c:pt>
                <c:pt idx="10">
                  <c:v>2/28/2021</c:v>
                </c:pt>
                <c:pt idx="11">
                  <c:v>2/20/2021</c:v>
                </c:pt>
                <c:pt idx="12">
                  <c:v>2/21/2021</c:v>
                </c:pt>
                <c:pt idx="13">
                  <c:v>2/12/2021</c:v>
                </c:pt>
                <c:pt idx="14">
                  <c:v>2/5/2021</c:v>
                </c:pt>
                <c:pt idx="15">
                  <c:v>2/16/2021</c:v>
                </c:pt>
                <c:pt idx="16">
                  <c:v>2/3/2021</c:v>
                </c:pt>
                <c:pt idx="17">
                  <c:v>2/6/2021</c:v>
                </c:pt>
                <c:pt idx="18">
                  <c:v>2/23/2021</c:v>
                </c:pt>
                <c:pt idx="19">
                  <c:v>2/26/2021</c:v>
                </c:pt>
                <c:pt idx="20">
                  <c:v>2/15/2021</c:v>
                </c:pt>
                <c:pt idx="21">
                  <c:v>2/10/2021</c:v>
                </c:pt>
                <c:pt idx="22">
                  <c:v>2/8/2021</c:v>
                </c:pt>
                <c:pt idx="23">
                  <c:v>2/14/2021</c:v>
                </c:pt>
                <c:pt idx="24">
                  <c:v>2/7/2021</c:v>
                </c:pt>
                <c:pt idx="25">
                  <c:v>2/27/2021</c:v>
                </c:pt>
                <c:pt idx="26">
                  <c:v>2/1/2021</c:v>
                </c:pt>
                <c:pt idx="27">
                  <c:v>2/18/2021</c:v>
                </c:pt>
              </c:strCache>
            </c:strRef>
          </c:cat>
          <c:val>
            <c:numRef>
              <c:f>'Pivot Engine'!$B$62:$B$90</c:f>
              <c:numCache>
                <c:formatCode>General</c:formatCode>
                <c:ptCount val="28"/>
                <c:pt idx="0">
                  <c:v>0.15037593984962405</c:v>
                </c:pt>
                <c:pt idx="1">
                  <c:v>0.14321947920189382</c:v>
                </c:pt>
                <c:pt idx="2">
                  <c:v>0.13989637305699482</c:v>
                </c:pt>
                <c:pt idx="3">
                  <c:v>0.13777089783281735</c:v>
                </c:pt>
                <c:pt idx="4">
                  <c:v>0.13239953309988328</c:v>
                </c:pt>
                <c:pt idx="5">
                  <c:v>0.13165829145728644</c:v>
                </c:pt>
                <c:pt idx="6">
                  <c:v>0.1316225165562914</c:v>
                </c:pt>
                <c:pt idx="7">
                  <c:v>0.13157894736842105</c:v>
                </c:pt>
                <c:pt idx="8">
                  <c:v>0.13121604680317592</c:v>
                </c:pt>
                <c:pt idx="9">
                  <c:v>0.12792511700468018</c:v>
                </c:pt>
                <c:pt idx="10">
                  <c:v>0.12745098039215685</c:v>
                </c:pt>
                <c:pt idx="11">
                  <c:v>0.12657757980697848</c:v>
                </c:pt>
                <c:pt idx="12">
                  <c:v>0.12647058823529411</c:v>
                </c:pt>
                <c:pt idx="13">
                  <c:v>0.12575090108129755</c:v>
                </c:pt>
                <c:pt idx="14">
                  <c:v>0.12559492332099417</c:v>
                </c:pt>
                <c:pt idx="15">
                  <c:v>0.12195981670778992</c:v>
                </c:pt>
                <c:pt idx="16">
                  <c:v>0.1196319018404908</c:v>
                </c:pt>
                <c:pt idx="17">
                  <c:v>0.11942675159235669</c:v>
                </c:pt>
                <c:pt idx="18">
                  <c:v>0.1166077738515901</c:v>
                </c:pt>
                <c:pt idx="19">
                  <c:v>0.1165644171779141</c:v>
                </c:pt>
                <c:pt idx="20">
                  <c:v>0.11360634081902246</c:v>
                </c:pt>
                <c:pt idx="21">
                  <c:v>0.11359623307828134</c:v>
                </c:pt>
                <c:pt idx="22">
                  <c:v>0.11320754716981132</c:v>
                </c:pt>
                <c:pt idx="23">
                  <c:v>0.1114032990676548</c:v>
                </c:pt>
                <c:pt idx="24">
                  <c:v>0.10683229813664596</c:v>
                </c:pt>
                <c:pt idx="25">
                  <c:v>0.1</c:v>
                </c:pt>
                <c:pt idx="26">
                  <c:v>9.0090090090090086E-2</c:v>
                </c:pt>
                <c:pt idx="27">
                  <c:v>8.9547098329602198E-2</c:v>
                </c:pt>
              </c:numCache>
            </c:numRef>
          </c:val>
          <c:smooth val="0"/>
          <c:extLst>
            <c:ext xmlns:c16="http://schemas.microsoft.com/office/drawing/2014/chart" uri="{C3380CC4-5D6E-409C-BE32-E72D297353CC}">
              <c16:uniqueId val="{00000000-72E8-44CF-95D2-223F2D7E7F36}"/>
            </c:ext>
          </c:extLst>
        </c:ser>
        <c:dLbls>
          <c:showLegendKey val="0"/>
          <c:showVal val="0"/>
          <c:showCatName val="0"/>
          <c:showSerName val="0"/>
          <c:showPercent val="0"/>
          <c:showBubbleSize val="0"/>
        </c:dLbls>
        <c:marker val="1"/>
        <c:smooth val="0"/>
        <c:axId val="244445824"/>
        <c:axId val="1532039856"/>
      </c:lineChart>
      <c:catAx>
        <c:axId val="244445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1"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crossAx val="1532039856"/>
        <c:crosses val="autoZero"/>
        <c:auto val="1"/>
        <c:lblAlgn val="ctr"/>
        <c:lblOffset val="100"/>
        <c:noMultiLvlLbl val="0"/>
      </c:catAx>
      <c:valAx>
        <c:axId val="1532039856"/>
        <c:scaling>
          <c:orientation val="minMax"/>
        </c:scaling>
        <c:delete val="1"/>
        <c:axPos val="l"/>
        <c:numFmt formatCode="General" sourceLinked="1"/>
        <c:majorTickMark val="none"/>
        <c:minorTickMark val="none"/>
        <c:tickLblPos val="nextTo"/>
        <c:crossAx val="244445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[Digital-Marketing-Dashboard.xlsx]Pivot Engine!PivotTable1</c:name>
    <c:fmtId val="19"/>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Segoe UI" panose="020B0502040204020203" pitchFamily="34" charset="0"/>
                <a:ea typeface="+mn-ea"/>
                <a:cs typeface="Segoe UI" panose="020B0502040204020203" pitchFamily="34" charset="0"/>
              </a:defRPr>
            </a:pPr>
            <a:r>
              <a:rPr lang="en-US" b="1">
                <a:solidFill>
                  <a:sysClr val="windowText" lastClr="000000"/>
                </a:solidFill>
                <a:latin typeface="Segoe UI" panose="020B0502040204020203" pitchFamily="34" charset="0"/>
                <a:cs typeface="Segoe UI" panose="020B0502040204020203" pitchFamily="34" charset="0"/>
              </a:rPr>
              <a:t>Weekday</a:t>
            </a:r>
            <a:r>
              <a:rPr lang="en-US" b="1" baseline="0">
                <a:solidFill>
                  <a:sysClr val="windowText" lastClr="000000"/>
                </a:solidFill>
                <a:latin typeface="Segoe UI" panose="020B0502040204020203" pitchFamily="34" charset="0"/>
                <a:cs typeface="Segoe UI" panose="020B0502040204020203" pitchFamily="34" charset="0"/>
              </a:rPr>
              <a:t> VS Weekday Activity</a:t>
            </a:r>
            <a:endParaRPr lang="en-US" b="1">
              <a:solidFill>
                <a:sysClr val="windowText" lastClr="000000"/>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A7E8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rgbClr val="E07A5F"/>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Engine'!$B$97</c:f>
              <c:strCache>
                <c:ptCount val="1"/>
                <c:pt idx="0">
                  <c:v>Average Revenue</c:v>
                </c:pt>
              </c:strCache>
            </c:strRef>
          </c:tx>
          <c:spPr>
            <a:solidFill>
              <a:srgbClr val="0A7E8C"/>
            </a:solidFill>
            <a:ln>
              <a:noFill/>
            </a:ln>
            <a:effectLst/>
          </c:spPr>
          <c:invertIfNegative val="0"/>
          <c:cat>
            <c:strRef>
              <c:f>'Pivot Engine'!$A$98:$A$99</c:f>
              <c:strCache>
                <c:ptCount val="2"/>
                <c:pt idx="0">
                  <c:v>Weekday</c:v>
                </c:pt>
                <c:pt idx="1">
                  <c:v>Weekend</c:v>
                </c:pt>
              </c:strCache>
            </c:strRef>
          </c:cat>
          <c:val>
            <c:numRef>
              <c:f>'Pivot Engine'!$B$98:$B$99</c:f>
              <c:numCache>
                <c:formatCode>[$₹-439]#,##0.00</c:formatCode>
                <c:ptCount val="2"/>
                <c:pt idx="0">
                  <c:v>141914.24090909091</c:v>
                </c:pt>
                <c:pt idx="1">
                  <c:v>132593.55681818182</c:v>
                </c:pt>
              </c:numCache>
            </c:numRef>
          </c:val>
          <c:extLst>
            <c:ext xmlns:c16="http://schemas.microsoft.com/office/drawing/2014/chart" uri="{C3380CC4-5D6E-409C-BE32-E72D297353CC}">
              <c16:uniqueId val="{00000000-E1A0-4750-B2E7-F6F8F95D35DC}"/>
            </c:ext>
          </c:extLst>
        </c:ser>
        <c:dLbls>
          <c:showLegendKey val="0"/>
          <c:showVal val="0"/>
          <c:showCatName val="0"/>
          <c:showSerName val="0"/>
          <c:showPercent val="0"/>
          <c:showBubbleSize val="0"/>
        </c:dLbls>
        <c:gapWidth val="330"/>
        <c:axId val="1540930576"/>
        <c:axId val="1532062416"/>
      </c:barChart>
      <c:lineChart>
        <c:grouping val="standard"/>
        <c:varyColors val="0"/>
        <c:ser>
          <c:idx val="1"/>
          <c:order val="1"/>
          <c:tx>
            <c:strRef>
              <c:f>'Pivot Engine'!$C$97</c:f>
              <c:strCache>
                <c:ptCount val="1"/>
                <c:pt idx="0">
                  <c:v>Average Orders</c:v>
                </c:pt>
              </c:strCache>
            </c:strRef>
          </c:tx>
          <c:spPr>
            <a:ln w="28575" cap="rnd">
              <a:solidFill>
                <a:schemeClr val="accent2"/>
              </a:solidFill>
              <a:round/>
            </a:ln>
            <a:effectLst/>
          </c:spPr>
          <c:marker>
            <c:symbol val="circle"/>
            <c:size val="5"/>
            <c:spPr>
              <a:solidFill>
                <a:srgbClr val="E07A5F"/>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Engine'!$A$98:$A$99</c:f>
              <c:strCache>
                <c:ptCount val="2"/>
                <c:pt idx="0">
                  <c:v>Weekday</c:v>
                </c:pt>
                <c:pt idx="1">
                  <c:v>Weekend</c:v>
                </c:pt>
              </c:strCache>
            </c:strRef>
          </c:cat>
          <c:val>
            <c:numRef>
              <c:f>'Pivot Engine'!$C$98:$C$99</c:f>
              <c:numCache>
                <c:formatCode>0.00</c:formatCode>
                <c:ptCount val="2"/>
                <c:pt idx="0">
                  <c:v>26.195454545454545</c:v>
                </c:pt>
                <c:pt idx="1">
                  <c:v>25.90909090909091</c:v>
                </c:pt>
              </c:numCache>
            </c:numRef>
          </c:val>
          <c:smooth val="0"/>
          <c:extLst>
            <c:ext xmlns:c16="http://schemas.microsoft.com/office/drawing/2014/chart" uri="{C3380CC4-5D6E-409C-BE32-E72D297353CC}">
              <c16:uniqueId val="{00000001-E1A0-4750-B2E7-F6F8F95D35DC}"/>
            </c:ext>
          </c:extLst>
        </c:ser>
        <c:ser>
          <c:idx val="2"/>
          <c:order val="2"/>
          <c:tx>
            <c:strRef>
              <c:f>'Pivot Engine'!$D$97</c:f>
              <c:strCache>
                <c:ptCount val="1"/>
                <c:pt idx="0">
                  <c:v>Average Clicks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 Engine'!$A$98:$A$99</c:f>
              <c:strCache>
                <c:ptCount val="2"/>
                <c:pt idx="0">
                  <c:v>Weekday</c:v>
                </c:pt>
                <c:pt idx="1">
                  <c:v>Weekend</c:v>
                </c:pt>
              </c:strCache>
            </c:strRef>
          </c:cat>
          <c:val>
            <c:numRef>
              <c:f>'Pivot Engine'!$D$98:$D$99</c:f>
              <c:numCache>
                <c:formatCode>0.00</c:formatCode>
                <c:ptCount val="2"/>
                <c:pt idx="0">
                  <c:v>10049.604545454546</c:v>
                </c:pt>
                <c:pt idx="1">
                  <c:v>8965.9772727272721</c:v>
                </c:pt>
              </c:numCache>
            </c:numRef>
          </c:val>
          <c:smooth val="0"/>
          <c:extLst>
            <c:ext xmlns:c16="http://schemas.microsoft.com/office/drawing/2014/chart" uri="{C3380CC4-5D6E-409C-BE32-E72D297353CC}">
              <c16:uniqueId val="{00000002-E1A0-4750-B2E7-F6F8F95D35DC}"/>
            </c:ext>
          </c:extLst>
        </c:ser>
        <c:dLbls>
          <c:showLegendKey val="0"/>
          <c:showVal val="0"/>
          <c:showCatName val="0"/>
          <c:showSerName val="0"/>
          <c:showPercent val="0"/>
          <c:showBubbleSize val="0"/>
        </c:dLbls>
        <c:marker val="1"/>
        <c:smooth val="0"/>
        <c:axId val="1540945888"/>
        <c:axId val="1532069136"/>
      </c:lineChart>
      <c:catAx>
        <c:axId val="1540930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ysClr val="windowText" lastClr="000000"/>
                </a:solidFill>
                <a:latin typeface="+mn-lt"/>
                <a:ea typeface="+mn-ea"/>
                <a:cs typeface="Segoe UI" panose="020B0502040204020203" pitchFamily="34" charset="0"/>
              </a:defRPr>
            </a:pPr>
            <a:endParaRPr lang="en-US"/>
          </a:p>
        </c:txPr>
        <c:crossAx val="1532062416"/>
        <c:crosses val="autoZero"/>
        <c:auto val="1"/>
        <c:lblAlgn val="ctr"/>
        <c:lblOffset val="100"/>
        <c:noMultiLvlLbl val="0"/>
      </c:catAx>
      <c:valAx>
        <c:axId val="1532062416"/>
        <c:scaling>
          <c:orientation val="minMax"/>
        </c:scaling>
        <c:delete val="0"/>
        <c:axPos val="l"/>
        <c:numFmt formatCode="[$₹-439]#,##0" sourceLinked="0"/>
        <c:majorTickMark val="none"/>
        <c:minorTickMark val="none"/>
        <c:tickLblPos val="nextTo"/>
        <c:spPr>
          <a:noFill/>
          <a:ln>
            <a:noFill/>
          </a:ln>
          <a:effectLst/>
        </c:spPr>
        <c:txPr>
          <a:bodyPr rot="-60000000" spcFirstLastPara="1" vertOverflow="ellipsis" vert="horz" wrap="square" anchor="ctr" anchorCtr="1"/>
          <a:lstStyle/>
          <a:p>
            <a:pPr>
              <a:defRPr sz="700" b="1" i="0" u="none" strike="noStrike" kern="1200" baseline="0">
                <a:solidFill>
                  <a:sysClr val="windowText" lastClr="000000"/>
                </a:solidFill>
                <a:latin typeface="+mn-lt"/>
                <a:ea typeface="+mn-ea"/>
                <a:cs typeface="Segoe UI" panose="020B0502040204020203" pitchFamily="34" charset="0"/>
              </a:defRPr>
            </a:pPr>
            <a:endParaRPr lang="en-US"/>
          </a:p>
        </c:txPr>
        <c:crossAx val="1540930576"/>
        <c:crosses val="autoZero"/>
        <c:crossBetween val="between"/>
      </c:valAx>
      <c:valAx>
        <c:axId val="1532069136"/>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700" b="1" i="0" u="none" strike="noStrike" kern="1200" baseline="0">
                <a:solidFill>
                  <a:sysClr val="windowText" lastClr="000000"/>
                </a:solidFill>
                <a:latin typeface="+mn-lt"/>
                <a:ea typeface="+mn-ea"/>
                <a:cs typeface="Segoe UI" panose="020B0502040204020203" pitchFamily="34" charset="0"/>
              </a:defRPr>
            </a:pPr>
            <a:endParaRPr lang="en-US"/>
          </a:p>
        </c:txPr>
        <c:crossAx val="1540945888"/>
        <c:crosses val="max"/>
        <c:crossBetween val="between"/>
      </c:valAx>
      <c:catAx>
        <c:axId val="1540945888"/>
        <c:scaling>
          <c:orientation val="minMax"/>
        </c:scaling>
        <c:delete val="1"/>
        <c:axPos val="b"/>
        <c:numFmt formatCode="General" sourceLinked="1"/>
        <c:majorTickMark val="out"/>
        <c:minorTickMark val="none"/>
        <c:tickLblPos val="nextTo"/>
        <c:crossAx val="153206913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700" b="1"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[Digital-Marketing-Dashboard.xlsx]Pivot Engine!PivotTable8</c:name>
    <c:fmtId val="24"/>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Segoe UI" panose="020B0502040204020203" pitchFamily="34" charset="0"/>
                <a:ea typeface="+mn-ea"/>
                <a:cs typeface="Segoe UI" panose="020B0502040204020203" pitchFamily="34" charset="0"/>
              </a:defRPr>
            </a:pPr>
            <a:r>
              <a:rPr lang="en-US" b="1">
                <a:solidFill>
                  <a:sysClr val="windowText" lastClr="000000"/>
                </a:solidFill>
                <a:latin typeface="Segoe UI" panose="020B0502040204020203" pitchFamily="34" charset="0"/>
                <a:cs typeface="Segoe UI" panose="020B0502040204020203" pitchFamily="34" charset="0"/>
              </a:rPr>
              <a:t>Best</a:t>
            </a:r>
            <a:r>
              <a:rPr lang="en-US" b="1" baseline="0">
                <a:solidFill>
                  <a:sysClr val="windowText" lastClr="000000"/>
                </a:solidFill>
                <a:latin typeface="Segoe UI" panose="020B0502040204020203" pitchFamily="34" charset="0"/>
                <a:cs typeface="Segoe UI" panose="020B0502040204020203" pitchFamily="34" charset="0"/>
              </a:rPr>
              <a:t> Campaign Measure</a:t>
            </a:r>
            <a:endParaRPr lang="en-US" b="1">
              <a:solidFill>
                <a:sysClr val="windowText" lastClr="000000"/>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A7E8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E07A5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Engine'!$B$113</c:f>
              <c:strCache>
                <c:ptCount val="1"/>
                <c:pt idx="0">
                  <c:v>Total Revenue</c:v>
                </c:pt>
              </c:strCache>
            </c:strRef>
          </c:tx>
          <c:spPr>
            <a:solidFill>
              <a:srgbClr val="0A7E8C"/>
            </a:solidFill>
            <a:ln>
              <a:noFill/>
            </a:ln>
            <a:effectLst/>
          </c:spPr>
          <c:invertIfNegative val="0"/>
          <c:cat>
            <c:strRef>
              <c:f>'Pivot Engine'!$A$114:$A$117</c:f>
              <c:strCache>
                <c:ptCount val="4"/>
                <c:pt idx="0">
                  <c:v>influencer</c:v>
                </c:pt>
                <c:pt idx="1">
                  <c:v>media</c:v>
                </c:pt>
                <c:pt idx="2">
                  <c:v>search</c:v>
                </c:pt>
                <c:pt idx="3">
                  <c:v>social</c:v>
                </c:pt>
              </c:strCache>
            </c:strRef>
          </c:cat>
          <c:val>
            <c:numRef>
              <c:f>'Pivot Engine'!$B$114:$B$117</c:f>
              <c:numCache>
                <c:formatCode>[$₹-439]#,##0.00</c:formatCode>
                <c:ptCount val="4"/>
                <c:pt idx="0">
                  <c:v>21119887</c:v>
                </c:pt>
                <c:pt idx="1">
                  <c:v>6152960</c:v>
                </c:pt>
                <c:pt idx="2">
                  <c:v>3705065</c:v>
                </c:pt>
                <c:pt idx="3">
                  <c:v>11911454</c:v>
                </c:pt>
              </c:numCache>
            </c:numRef>
          </c:val>
          <c:extLst>
            <c:ext xmlns:c16="http://schemas.microsoft.com/office/drawing/2014/chart" uri="{C3380CC4-5D6E-409C-BE32-E72D297353CC}">
              <c16:uniqueId val="{00000000-711C-4D98-8C92-DAD84D867F94}"/>
            </c:ext>
          </c:extLst>
        </c:ser>
        <c:ser>
          <c:idx val="1"/>
          <c:order val="1"/>
          <c:tx>
            <c:strRef>
              <c:f>'Pivot Engine'!$C$113</c:f>
              <c:strCache>
                <c:ptCount val="1"/>
                <c:pt idx="0">
                  <c:v>Total Mark spent</c:v>
                </c:pt>
              </c:strCache>
            </c:strRef>
          </c:tx>
          <c:spPr>
            <a:solidFill>
              <a:srgbClr val="E07A5F"/>
            </a:solidFill>
            <a:ln>
              <a:noFill/>
            </a:ln>
            <a:effectLst/>
          </c:spPr>
          <c:invertIfNegative val="0"/>
          <c:cat>
            <c:strRef>
              <c:f>'Pivot Engine'!$A$114:$A$117</c:f>
              <c:strCache>
                <c:ptCount val="4"/>
                <c:pt idx="0">
                  <c:v>influencer</c:v>
                </c:pt>
                <c:pt idx="1">
                  <c:v>media</c:v>
                </c:pt>
                <c:pt idx="2">
                  <c:v>search</c:v>
                </c:pt>
                <c:pt idx="3">
                  <c:v>social</c:v>
                </c:pt>
              </c:strCache>
            </c:strRef>
          </c:cat>
          <c:val>
            <c:numRef>
              <c:f>'Pivot Engine'!$C$114:$C$117</c:f>
              <c:numCache>
                <c:formatCode>[$₹-439]#,##0.00</c:formatCode>
                <c:ptCount val="4"/>
                <c:pt idx="0">
                  <c:v>8305304.080000001</c:v>
                </c:pt>
                <c:pt idx="1">
                  <c:v>5026674.7600000007</c:v>
                </c:pt>
                <c:pt idx="2">
                  <c:v>3460400.0700000008</c:v>
                </c:pt>
                <c:pt idx="3">
                  <c:v>13798500.909999993</c:v>
                </c:pt>
              </c:numCache>
            </c:numRef>
          </c:val>
          <c:extLst>
            <c:ext xmlns:c16="http://schemas.microsoft.com/office/drawing/2014/chart" uri="{C3380CC4-5D6E-409C-BE32-E72D297353CC}">
              <c16:uniqueId val="{00000001-711C-4D98-8C92-DAD84D867F94}"/>
            </c:ext>
          </c:extLst>
        </c:ser>
        <c:dLbls>
          <c:showLegendKey val="0"/>
          <c:showVal val="0"/>
          <c:showCatName val="0"/>
          <c:showSerName val="0"/>
          <c:showPercent val="0"/>
          <c:showBubbleSize val="0"/>
        </c:dLbls>
        <c:gapWidth val="330"/>
        <c:axId val="1541009456"/>
        <c:axId val="1532104176"/>
      </c:barChart>
      <c:barChart>
        <c:barDir val="col"/>
        <c:grouping val="clustered"/>
        <c:varyColors val="0"/>
        <c:ser>
          <c:idx val="2"/>
          <c:order val="2"/>
          <c:tx>
            <c:strRef>
              <c:f>'Pivot Engine'!$D$113</c:f>
              <c:strCache>
                <c:ptCount val="1"/>
                <c:pt idx="0">
                  <c:v>True_ROMI %</c:v>
                </c:pt>
              </c:strCache>
            </c:strRef>
          </c:tx>
          <c:spPr>
            <a:solidFill>
              <a:schemeClr val="accent3"/>
            </a:solidFill>
            <a:ln>
              <a:noFill/>
            </a:ln>
            <a:effectLst/>
          </c:spPr>
          <c:invertIfNegative val="0"/>
          <c:cat>
            <c:strRef>
              <c:f>'Pivot Engine'!$A$114:$A$117</c:f>
              <c:strCache>
                <c:ptCount val="4"/>
                <c:pt idx="0">
                  <c:v>influencer</c:v>
                </c:pt>
                <c:pt idx="1">
                  <c:v>media</c:v>
                </c:pt>
                <c:pt idx="2">
                  <c:v>search</c:v>
                </c:pt>
                <c:pt idx="3">
                  <c:v>social</c:v>
                </c:pt>
              </c:strCache>
            </c:strRef>
          </c:cat>
          <c:val>
            <c:numRef>
              <c:f>'Pivot Engine'!$D$114:$D$117</c:f>
              <c:numCache>
                <c:formatCode>0.00%</c:formatCode>
                <c:ptCount val="4"/>
                <c:pt idx="0">
                  <c:v>1.5429396439389607</c:v>
                </c:pt>
                <c:pt idx="1">
                  <c:v>0.22406168964072765</c:v>
                </c:pt>
                <c:pt idx="2">
                  <c:v>7.0704232184343699E-2</c:v>
                </c:pt>
                <c:pt idx="3">
                  <c:v>-0.13675738562530512</c:v>
                </c:pt>
              </c:numCache>
            </c:numRef>
          </c:val>
          <c:extLst>
            <c:ext xmlns:c16="http://schemas.microsoft.com/office/drawing/2014/chart" uri="{C3380CC4-5D6E-409C-BE32-E72D297353CC}">
              <c16:uniqueId val="{00000002-711C-4D98-8C92-DAD84D867F94}"/>
            </c:ext>
          </c:extLst>
        </c:ser>
        <c:dLbls>
          <c:showLegendKey val="0"/>
          <c:showVal val="0"/>
          <c:showCatName val="0"/>
          <c:showSerName val="0"/>
          <c:showPercent val="0"/>
          <c:showBubbleSize val="0"/>
        </c:dLbls>
        <c:gapWidth val="330"/>
        <c:axId val="722971600"/>
        <c:axId val="1532071536"/>
      </c:barChart>
      <c:catAx>
        <c:axId val="1541009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ysClr val="windowText" lastClr="000000"/>
                </a:solidFill>
                <a:latin typeface="+mn-lt"/>
                <a:ea typeface="+mn-ea"/>
                <a:cs typeface="Segoe UI" panose="020B0502040204020203" pitchFamily="34" charset="0"/>
              </a:defRPr>
            </a:pPr>
            <a:endParaRPr lang="en-US"/>
          </a:p>
        </c:txPr>
        <c:crossAx val="1532104176"/>
        <c:crosses val="autoZero"/>
        <c:auto val="1"/>
        <c:lblAlgn val="ctr"/>
        <c:lblOffset val="100"/>
        <c:noMultiLvlLbl val="0"/>
      </c:catAx>
      <c:valAx>
        <c:axId val="1532104176"/>
        <c:scaling>
          <c:orientation val="minMax"/>
        </c:scaling>
        <c:delete val="0"/>
        <c:axPos val="l"/>
        <c:numFmt formatCode="[$₹-439]#,##0" sourceLinked="0"/>
        <c:majorTickMark val="none"/>
        <c:minorTickMark val="none"/>
        <c:tickLblPos val="nextTo"/>
        <c:spPr>
          <a:noFill/>
          <a:ln>
            <a:noFill/>
          </a:ln>
          <a:effectLst/>
        </c:spPr>
        <c:txPr>
          <a:bodyPr rot="-60000000" spcFirstLastPara="1" vertOverflow="ellipsis" vert="horz" wrap="square" anchor="ctr" anchorCtr="1"/>
          <a:lstStyle/>
          <a:p>
            <a:pPr>
              <a:defRPr sz="700" b="1" i="0" u="none" strike="noStrike" kern="1200" baseline="0">
                <a:solidFill>
                  <a:sysClr val="windowText" lastClr="000000"/>
                </a:solidFill>
                <a:latin typeface="+mn-lt"/>
                <a:ea typeface="+mn-ea"/>
                <a:cs typeface="Segoe UI" panose="020B0502040204020203" pitchFamily="34" charset="0"/>
              </a:defRPr>
            </a:pPr>
            <a:endParaRPr lang="en-US"/>
          </a:p>
        </c:txPr>
        <c:crossAx val="1541009456"/>
        <c:crosses val="autoZero"/>
        <c:crossBetween val="between"/>
      </c:valAx>
      <c:valAx>
        <c:axId val="1532071536"/>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700" b="1" i="0" u="none" strike="noStrike" kern="1200" baseline="0">
                <a:solidFill>
                  <a:sysClr val="windowText" lastClr="000000"/>
                </a:solidFill>
                <a:latin typeface="+mn-lt"/>
                <a:ea typeface="+mn-ea"/>
                <a:cs typeface="Segoe UI" panose="020B0502040204020203" pitchFamily="34" charset="0"/>
              </a:defRPr>
            </a:pPr>
            <a:endParaRPr lang="en-US"/>
          </a:p>
        </c:txPr>
        <c:crossAx val="722971600"/>
        <c:crosses val="max"/>
        <c:crossBetween val="between"/>
      </c:valAx>
      <c:catAx>
        <c:axId val="722971600"/>
        <c:scaling>
          <c:orientation val="minMax"/>
        </c:scaling>
        <c:delete val="1"/>
        <c:axPos val="b"/>
        <c:numFmt formatCode="General" sourceLinked="1"/>
        <c:majorTickMark val="out"/>
        <c:minorTickMark val="none"/>
        <c:tickLblPos val="nextTo"/>
        <c:crossAx val="153207153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Segoe UI" panose="020B05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[Digital-Marketing-Dashboard.xlsx]Pivot Engine!PivotTable9</c:name>
    <c:fmtId val="26"/>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Segoe UI" panose="020B0502040204020203" pitchFamily="34" charset="0"/>
                <a:ea typeface="+mn-ea"/>
                <a:cs typeface="Segoe UI" panose="020B0502040204020203" pitchFamily="34" charset="0"/>
              </a:defRPr>
            </a:pPr>
            <a:r>
              <a:rPr lang="en-US" b="1">
                <a:solidFill>
                  <a:sysClr val="windowText" lastClr="000000"/>
                </a:solidFill>
                <a:latin typeface="Segoe UI" panose="020B0502040204020203" pitchFamily="34" charset="0"/>
                <a:cs typeface="Segoe UI" panose="020B0502040204020203" pitchFamily="34" charset="0"/>
              </a:rPr>
              <a:t>Best</a:t>
            </a:r>
            <a:r>
              <a:rPr lang="en-US" b="1" baseline="0">
                <a:solidFill>
                  <a:sysClr val="windowText" lastClr="000000"/>
                </a:solidFill>
                <a:latin typeface="Segoe UI" panose="020B0502040204020203" pitchFamily="34" charset="0"/>
                <a:cs typeface="Segoe UI" panose="020B0502040204020203" pitchFamily="34" charset="0"/>
              </a:rPr>
              <a:t> Geographical Location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A7E8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E07A5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Engine'!$B$127</c:f>
              <c:strCache>
                <c:ptCount val="1"/>
                <c:pt idx="0">
                  <c:v>Total Revenue</c:v>
                </c:pt>
              </c:strCache>
            </c:strRef>
          </c:tx>
          <c:spPr>
            <a:solidFill>
              <a:srgbClr val="0A7E8C"/>
            </a:solidFill>
            <a:ln>
              <a:noFill/>
            </a:ln>
            <a:effectLst/>
          </c:spPr>
          <c:invertIfNegative val="0"/>
          <c:cat>
            <c:strRef>
              <c:f>'Pivot Engine'!$A$128:$A$129</c:f>
              <c:strCache>
                <c:ptCount val="2"/>
                <c:pt idx="0">
                  <c:v>Tier 1</c:v>
                </c:pt>
                <c:pt idx="1">
                  <c:v>Tier 2</c:v>
                </c:pt>
              </c:strCache>
            </c:strRef>
          </c:cat>
          <c:val>
            <c:numRef>
              <c:f>'Pivot Engine'!$B$128:$B$129</c:f>
              <c:numCache>
                <c:formatCode>[$₹-439]#,##0.00</c:formatCode>
                <c:ptCount val="2"/>
                <c:pt idx="0">
                  <c:v>6940536</c:v>
                </c:pt>
                <c:pt idx="1">
                  <c:v>35948830</c:v>
                </c:pt>
              </c:numCache>
            </c:numRef>
          </c:val>
          <c:extLst>
            <c:ext xmlns:c16="http://schemas.microsoft.com/office/drawing/2014/chart" uri="{C3380CC4-5D6E-409C-BE32-E72D297353CC}">
              <c16:uniqueId val="{00000000-9338-4F2E-8307-DBBF152F6CE9}"/>
            </c:ext>
          </c:extLst>
        </c:ser>
        <c:ser>
          <c:idx val="1"/>
          <c:order val="1"/>
          <c:tx>
            <c:strRef>
              <c:f>'Pivot Engine'!$C$127</c:f>
              <c:strCache>
                <c:ptCount val="1"/>
                <c:pt idx="0">
                  <c:v>Total Mark spent</c:v>
                </c:pt>
              </c:strCache>
            </c:strRef>
          </c:tx>
          <c:spPr>
            <a:solidFill>
              <a:srgbClr val="E07A5F"/>
            </a:solidFill>
            <a:ln>
              <a:noFill/>
            </a:ln>
            <a:effectLst/>
          </c:spPr>
          <c:invertIfNegative val="0"/>
          <c:cat>
            <c:strRef>
              <c:f>'Pivot Engine'!$A$128:$A$129</c:f>
              <c:strCache>
                <c:ptCount val="2"/>
                <c:pt idx="0">
                  <c:v>Tier 1</c:v>
                </c:pt>
                <c:pt idx="1">
                  <c:v>Tier 2</c:v>
                </c:pt>
              </c:strCache>
            </c:strRef>
          </c:cat>
          <c:val>
            <c:numRef>
              <c:f>'Pivot Engine'!$C$128:$C$129</c:f>
              <c:numCache>
                <c:formatCode>[$₹-439]#,##0.00</c:formatCode>
                <c:ptCount val="2"/>
                <c:pt idx="0">
                  <c:v>5130070.7300000023</c:v>
                </c:pt>
                <c:pt idx="1">
                  <c:v>25460809.09</c:v>
                </c:pt>
              </c:numCache>
            </c:numRef>
          </c:val>
          <c:extLst>
            <c:ext xmlns:c16="http://schemas.microsoft.com/office/drawing/2014/chart" uri="{C3380CC4-5D6E-409C-BE32-E72D297353CC}">
              <c16:uniqueId val="{00000001-9338-4F2E-8307-DBBF152F6CE9}"/>
            </c:ext>
          </c:extLst>
        </c:ser>
        <c:dLbls>
          <c:showLegendKey val="0"/>
          <c:showVal val="0"/>
          <c:showCatName val="0"/>
          <c:showSerName val="0"/>
          <c:showPercent val="0"/>
          <c:showBubbleSize val="0"/>
        </c:dLbls>
        <c:gapWidth val="330"/>
        <c:axId val="722955360"/>
        <c:axId val="1531988496"/>
      </c:barChart>
      <c:barChart>
        <c:barDir val="col"/>
        <c:grouping val="clustered"/>
        <c:varyColors val="0"/>
        <c:ser>
          <c:idx val="2"/>
          <c:order val="2"/>
          <c:tx>
            <c:strRef>
              <c:f>'Pivot Engine'!$D$127</c:f>
              <c:strCache>
                <c:ptCount val="1"/>
                <c:pt idx="0">
                  <c:v>True_ROMI %</c:v>
                </c:pt>
              </c:strCache>
            </c:strRef>
          </c:tx>
          <c:spPr>
            <a:solidFill>
              <a:schemeClr val="accent3"/>
            </a:solidFill>
            <a:ln>
              <a:noFill/>
            </a:ln>
            <a:effectLst/>
          </c:spPr>
          <c:invertIfNegative val="0"/>
          <c:cat>
            <c:strRef>
              <c:f>'Pivot Engine'!$A$128:$A$129</c:f>
              <c:strCache>
                <c:ptCount val="2"/>
                <c:pt idx="0">
                  <c:v>Tier 1</c:v>
                </c:pt>
                <c:pt idx="1">
                  <c:v>Tier 2</c:v>
                </c:pt>
              </c:strCache>
            </c:strRef>
          </c:cat>
          <c:val>
            <c:numRef>
              <c:f>'Pivot Engine'!$D$128:$D$129</c:f>
              <c:numCache>
                <c:formatCode>0.00%</c:formatCode>
                <c:ptCount val="2"/>
                <c:pt idx="0">
                  <c:v>0.35291234084018114</c:v>
                </c:pt>
                <c:pt idx="1">
                  <c:v>0.41192802918895771</c:v>
                </c:pt>
              </c:numCache>
            </c:numRef>
          </c:val>
          <c:extLst>
            <c:ext xmlns:c16="http://schemas.microsoft.com/office/drawing/2014/chart" uri="{C3380CC4-5D6E-409C-BE32-E72D297353CC}">
              <c16:uniqueId val="{00000002-9338-4F2E-8307-DBBF152F6CE9}"/>
            </c:ext>
          </c:extLst>
        </c:ser>
        <c:dLbls>
          <c:showLegendKey val="0"/>
          <c:showVal val="0"/>
          <c:showCatName val="0"/>
          <c:showSerName val="0"/>
          <c:showPercent val="0"/>
          <c:showBubbleSize val="0"/>
        </c:dLbls>
        <c:gapWidth val="400"/>
        <c:axId val="722943296"/>
        <c:axId val="1531989456"/>
      </c:barChart>
      <c:catAx>
        <c:axId val="722955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531988496"/>
        <c:crosses val="autoZero"/>
        <c:auto val="1"/>
        <c:lblAlgn val="ctr"/>
        <c:lblOffset val="100"/>
        <c:noMultiLvlLbl val="0"/>
      </c:catAx>
      <c:valAx>
        <c:axId val="1531988496"/>
        <c:scaling>
          <c:orientation val="minMax"/>
        </c:scaling>
        <c:delete val="0"/>
        <c:axPos val="l"/>
        <c:numFmt formatCode="[$₹-439]#,##0" sourceLinked="0"/>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ysClr val="windowText" lastClr="000000"/>
                </a:solidFill>
                <a:latin typeface="+mn-lt"/>
                <a:ea typeface="+mn-ea"/>
                <a:cs typeface="+mn-cs"/>
              </a:defRPr>
            </a:pPr>
            <a:endParaRPr lang="en-US"/>
          </a:p>
        </c:txPr>
        <c:crossAx val="722955360"/>
        <c:crosses val="autoZero"/>
        <c:crossBetween val="between"/>
      </c:valAx>
      <c:valAx>
        <c:axId val="1531989456"/>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ysClr val="windowText" lastClr="000000"/>
                </a:solidFill>
                <a:latin typeface="+mn-lt"/>
                <a:ea typeface="+mn-ea"/>
                <a:cs typeface="+mn-cs"/>
              </a:defRPr>
            </a:pPr>
            <a:endParaRPr lang="en-US"/>
          </a:p>
        </c:txPr>
        <c:crossAx val="722943296"/>
        <c:crosses val="max"/>
        <c:crossBetween val="between"/>
      </c:valAx>
      <c:catAx>
        <c:axId val="722943296"/>
        <c:scaling>
          <c:orientation val="minMax"/>
        </c:scaling>
        <c:delete val="1"/>
        <c:axPos val="b"/>
        <c:numFmt formatCode="General" sourceLinked="1"/>
        <c:majorTickMark val="out"/>
        <c:minorTickMark val="none"/>
        <c:tickLblPos val="nextTo"/>
        <c:crossAx val="153198945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6350</xdr:colOff>
      <xdr:row>4</xdr:row>
      <xdr:rowOff>31750</xdr:rowOff>
    </xdr:from>
    <xdr:to>
      <xdr:col>11</xdr:col>
      <xdr:colOff>285750</xdr:colOff>
      <xdr:row>9</xdr:row>
      <xdr:rowOff>25400</xdr:rowOff>
    </xdr:to>
    <xdr:sp macro="" textlink="">
      <xdr:nvSpPr>
        <xdr:cNvPr id="3" name="TextBox 2">
          <a:extLst>
            <a:ext uri="{FF2B5EF4-FFF2-40B4-BE49-F238E27FC236}">
              <a16:creationId xmlns:a16="http://schemas.microsoft.com/office/drawing/2014/main" id="{61A36E40-747D-4570-A041-B68E6B8D3B71}"/>
            </a:ext>
          </a:extLst>
        </xdr:cNvPr>
        <xdr:cNvSpPr txBox="1"/>
      </xdr:nvSpPr>
      <xdr:spPr>
        <a:xfrm>
          <a:off x="6350" y="768350"/>
          <a:ext cx="8464550" cy="914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Your </a:t>
          </a:r>
          <a:r>
            <a:rPr lang="en-US" sz="1100" b="1" u="none" strike="noStrike">
              <a:solidFill>
                <a:schemeClr val="dk1"/>
              </a:solidFill>
              <a:effectLst/>
              <a:latin typeface="+mn-lt"/>
              <a:ea typeface="+mn-ea"/>
              <a:cs typeface="+mn-cs"/>
            </a:rPr>
            <a:t>Overall ROMI is 0.40</a:t>
          </a:r>
          <a:r>
            <a:rPr lang="en-US"/>
            <a:t> (or </a:t>
          </a:r>
          <a:r>
            <a:rPr lang="en-US" sz="1100" b="1" u="none" strike="noStrike">
              <a:solidFill>
                <a:schemeClr val="dk1"/>
              </a:solidFill>
              <a:effectLst/>
              <a:latin typeface="+mn-lt"/>
              <a:ea typeface="+mn-ea"/>
              <a:cs typeface="+mn-cs"/>
            </a:rPr>
            <a:t>40.2%</a:t>
          </a:r>
          <a:r>
            <a:rPr lang="en-US"/>
            <a:t> when expressed as a percentage).</a:t>
          </a:r>
          <a:endParaRPr lang="en-US" sz="1100" b="1" u="none" strike="noStrike">
            <a:solidFill>
              <a:schemeClr val="dk1"/>
            </a:solidFill>
            <a:effectLst/>
            <a:latin typeface="+mn-lt"/>
            <a:ea typeface="+mn-ea"/>
            <a:cs typeface="+mn-cs"/>
          </a:endParaRPr>
        </a:p>
        <a:p>
          <a:endParaRPr lang="en-US" sz="1100" b="1" u="none" strike="noStrike">
            <a:solidFill>
              <a:schemeClr val="dk1"/>
            </a:solidFill>
            <a:effectLst/>
            <a:latin typeface="+mn-lt"/>
            <a:ea typeface="+mn-ea"/>
            <a:cs typeface="+mn-cs"/>
          </a:endParaRPr>
        </a:p>
        <a:p>
          <a:r>
            <a:rPr lang="en-US" sz="1100" b="1" u="none" strike="noStrike">
              <a:solidFill>
                <a:schemeClr val="dk1"/>
              </a:solidFill>
              <a:effectLst/>
              <a:latin typeface="+mn-lt"/>
              <a:ea typeface="+mn-ea"/>
              <a:cs typeface="+mn-cs"/>
            </a:rPr>
            <a:t>What this means:</a:t>
          </a:r>
          <a:r>
            <a:rPr lang="en-US" sz="1100" b="0" u="none" strike="noStrike">
              <a:solidFill>
                <a:schemeClr val="dk1"/>
              </a:solidFill>
              <a:effectLst/>
              <a:latin typeface="+mn-lt"/>
              <a:ea typeface="+mn-ea"/>
              <a:cs typeface="+mn-cs"/>
            </a:rPr>
            <a:t> For every 1 INR you spent on marketing across the entire project, you made back your original 1 INR plus an extra </a:t>
          </a:r>
          <a:r>
            <a:rPr lang="en-US" sz="1100" b="1" u="none" strike="noStrike">
              <a:solidFill>
                <a:schemeClr val="dk1"/>
              </a:solidFill>
              <a:effectLst/>
              <a:latin typeface="+mn-lt"/>
              <a:ea typeface="+mn-ea"/>
              <a:cs typeface="+mn-cs"/>
            </a:rPr>
            <a:t>0.40 INR in clear profit</a:t>
          </a:r>
          <a:r>
            <a:rPr lang="en-US" sz="1100" b="0" u="none" strike="noStrike">
              <a:solidFill>
                <a:schemeClr val="dk1"/>
              </a:solidFill>
              <a:effectLst/>
              <a:latin typeface="+mn-lt"/>
              <a:ea typeface="+mn-ea"/>
              <a:cs typeface="+mn-cs"/>
            </a:rPr>
            <a:t>. Because it is a positive number, the overall marketing strategy was successful</a:t>
          </a:r>
          <a:r>
            <a:rPr lang="en-US"/>
            <a:t>!</a:t>
          </a:r>
          <a:endParaRPr lang="en-US" sz="1100"/>
        </a:p>
      </xdr:txBody>
    </xdr:sp>
    <xdr:clientData/>
  </xdr:twoCellAnchor>
  <xdr:twoCellAnchor>
    <xdr:from>
      <xdr:col>3</xdr:col>
      <xdr:colOff>171450</xdr:colOff>
      <xdr:row>12</xdr:row>
      <xdr:rowOff>44450</xdr:rowOff>
    </xdr:from>
    <xdr:to>
      <xdr:col>6</xdr:col>
      <xdr:colOff>577850</xdr:colOff>
      <xdr:row>22</xdr:row>
      <xdr:rowOff>107950</xdr:rowOff>
    </xdr:to>
    <xdr:graphicFrame macro="">
      <xdr:nvGraphicFramePr>
        <xdr:cNvPr id="4" name="Chart 3">
          <a:extLst>
            <a:ext uri="{FF2B5EF4-FFF2-40B4-BE49-F238E27FC236}">
              <a16:creationId xmlns:a16="http://schemas.microsoft.com/office/drawing/2014/main" id="{DDA449E0-F26A-3EF5-3183-0499DA7DC9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1175456</xdr:colOff>
      <xdr:row>93</xdr:row>
      <xdr:rowOff>172861</xdr:rowOff>
    </xdr:from>
    <xdr:to>
      <xdr:col>8</xdr:col>
      <xdr:colOff>428978</xdr:colOff>
      <xdr:row>106</xdr:row>
      <xdr:rowOff>39511</xdr:rowOff>
    </xdr:to>
    <xdr:graphicFrame macro="">
      <xdr:nvGraphicFramePr>
        <xdr:cNvPr id="6" name="Chart 5">
          <a:extLst>
            <a:ext uri="{FF2B5EF4-FFF2-40B4-BE49-F238E27FC236}">
              <a16:creationId xmlns:a16="http://schemas.microsoft.com/office/drawing/2014/main" id="{F9B9758D-1FAE-ED67-806E-8EE4193EB9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317500</xdr:colOff>
      <xdr:row>27</xdr:row>
      <xdr:rowOff>133350</xdr:rowOff>
    </xdr:from>
    <xdr:to>
      <xdr:col>6</xdr:col>
      <xdr:colOff>1016000</xdr:colOff>
      <xdr:row>42</xdr:row>
      <xdr:rowOff>114300</xdr:rowOff>
    </xdr:to>
    <xdr:graphicFrame macro="">
      <xdr:nvGraphicFramePr>
        <xdr:cNvPr id="7" name="Chart 6">
          <a:extLst>
            <a:ext uri="{FF2B5EF4-FFF2-40B4-BE49-F238E27FC236}">
              <a16:creationId xmlns:a16="http://schemas.microsoft.com/office/drawing/2014/main" id="{ABD70EE2-E4C0-B532-085E-BDF319C010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577850</xdr:colOff>
      <xdr:row>60</xdr:row>
      <xdr:rowOff>44450</xdr:rowOff>
    </xdr:from>
    <xdr:to>
      <xdr:col>5</xdr:col>
      <xdr:colOff>114300</xdr:colOff>
      <xdr:row>75</xdr:row>
      <xdr:rowOff>25400</xdr:rowOff>
    </xdr:to>
    <xdr:graphicFrame macro="">
      <xdr:nvGraphicFramePr>
        <xdr:cNvPr id="8" name="Chart 7">
          <a:extLst>
            <a:ext uri="{FF2B5EF4-FFF2-40B4-BE49-F238E27FC236}">
              <a16:creationId xmlns:a16="http://schemas.microsoft.com/office/drawing/2014/main" id="{4F5B5075-66ED-3E82-6263-70AEEB442B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396875</xdr:colOff>
      <xdr:row>112</xdr:row>
      <xdr:rowOff>12700</xdr:rowOff>
    </xdr:from>
    <xdr:to>
      <xdr:col>7</xdr:col>
      <xdr:colOff>527050</xdr:colOff>
      <xdr:row>124</xdr:row>
      <xdr:rowOff>31750</xdr:rowOff>
    </xdr:to>
    <xdr:graphicFrame macro="">
      <xdr:nvGraphicFramePr>
        <xdr:cNvPr id="9" name="Chart 8">
          <a:extLst>
            <a:ext uri="{FF2B5EF4-FFF2-40B4-BE49-F238E27FC236}">
              <a16:creationId xmlns:a16="http://schemas.microsoft.com/office/drawing/2014/main" id="{7C5A9928-52C2-7FD5-433B-9051E4DE10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908050</xdr:colOff>
      <xdr:row>126</xdr:row>
      <xdr:rowOff>146050</xdr:rowOff>
    </xdr:from>
    <xdr:to>
      <xdr:col>8</xdr:col>
      <xdr:colOff>596900</xdr:colOff>
      <xdr:row>139</xdr:row>
      <xdr:rowOff>177800</xdr:rowOff>
    </xdr:to>
    <xdr:graphicFrame macro="">
      <xdr:nvGraphicFramePr>
        <xdr:cNvPr id="10" name="Chart 9">
          <a:extLst>
            <a:ext uri="{FF2B5EF4-FFF2-40B4-BE49-F238E27FC236}">
              <a16:creationId xmlns:a16="http://schemas.microsoft.com/office/drawing/2014/main" id="{E91D7B9D-ED93-DA36-9CA6-F4A779D1E4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107950</xdr:colOff>
      <xdr:row>0</xdr:row>
      <xdr:rowOff>44450</xdr:rowOff>
    </xdr:from>
    <xdr:to>
      <xdr:col>11</xdr:col>
      <xdr:colOff>527050</xdr:colOff>
      <xdr:row>27</xdr:row>
      <xdr:rowOff>76200</xdr:rowOff>
    </xdr:to>
    <xdr:pic>
      <xdr:nvPicPr>
        <xdr:cNvPr id="3" name="Picture 2">
          <a:extLst>
            <a:ext uri="{FF2B5EF4-FFF2-40B4-BE49-F238E27FC236}">
              <a16:creationId xmlns:a16="http://schemas.microsoft.com/office/drawing/2014/main" id="{3CB17FE8-44CB-971B-87F6-05552FE19C6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7950" y="44450"/>
          <a:ext cx="7124700" cy="5003800"/>
        </a:xfrm>
        <a:prstGeom prst="rect">
          <a:avLst/>
        </a:prstGeom>
      </xdr:spPr>
    </xdr:pic>
    <xdr:clientData/>
  </xdr:twoCellAnchor>
  <xdr:twoCellAnchor>
    <xdr:from>
      <xdr:col>12</xdr:col>
      <xdr:colOff>44450</xdr:colOff>
      <xdr:row>0</xdr:row>
      <xdr:rowOff>76200</xdr:rowOff>
    </xdr:from>
    <xdr:to>
      <xdr:col>15</xdr:col>
      <xdr:colOff>69850</xdr:colOff>
      <xdr:row>26</xdr:row>
      <xdr:rowOff>152400</xdr:rowOff>
    </xdr:to>
    <xdr:sp macro="" textlink="">
      <xdr:nvSpPr>
        <xdr:cNvPr id="4" name="TextBox 3">
          <a:extLst>
            <a:ext uri="{FF2B5EF4-FFF2-40B4-BE49-F238E27FC236}">
              <a16:creationId xmlns:a16="http://schemas.microsoft.com/office/drawing/2014/main" id="{193F565D-8144-3808-A10A-5029C205DBD8}"/>
            </a:ext>
          </a:extLst>
        </xdr:cNvPr>
        <xdr:cNvSpPr txBox="1"/>
      </xdr:nvSpPr>
      <xdr:spPr>
        <a:xfrm>
          <a:off x="7359650" y="76200"/>
          <a:ext cx="1854200" cy="48641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Picture this. </a:t>
          </a:r>
        </a:p>
        <a:p>
          <a:endParaRPr lang="en-US" sz="1600"/>
        </a:p>
        <a:p>
          <a:r>
            <a:rPr lang="en-US" sz="1600"/>
            <a:t>A company puts ₹30.5 million into online ads in one quarter. That is a lot of money. </a:t>
          </a:r>
        </a:p>
        <a:p>
          <a:endParaRPr lang="en-US" sz="1600"/>
        </a:p>
        <a:p>
          <a:r>
            <a:rPr lang="en-US" sz="1600"/>
            <a:t>Now the big question everyone in the room wants answered is simple: "Did it pay off?"</a:t>
          </a:r>
        </a:p>
        <a:p>
          <a:endParaRPr lang="en-US" sz="1600"/>
        </a:p>
        <a:p>
          <a:r>
            <a:rPr lang="en-US" sz="1600"/>
            <a:t>That is what this dashboard answers. Let's walk through it together.</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76200</xdr:colOff>
      <xdr:row>7</xdr:row>
      <xdr:rowOff>0</xdr:rowOff>
    </xdr:from>
    <xdr:to>
      <xdr:col>5</xdr:col>
      <xdr:colOff>368300</xdr:colOff>
      <xdr:row>19</xdr:row>
      <xdr:rowOff>146050</xdr:rowOff>
    </xdr:to>
    <xdr:graphicFrame macro="">
      <xdr:nvGraphicFramePr>
        <xdr:cNvPr id="8" name="Chart 7">
          <a:extLst>
            <a:ext uri="{FF2B5EF4-FFF2-40B4-BE49-F238E27FC236}">
              <a16:creationId xmlns:a16="http://schemas.microsoft.com/office/drawing/2014/main" id="{11B91D8B-CBE6-460C-A7F5-4C4FA4AC64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419099</xdr:colOff>
      <xdr:row>7</xdr:row>
      <xdr:rowOff>0</xdr:rowOff>
    </xdr:from>
    <xdr:to>
      <xdr:col>11</xdr:col>
      <xdr:colOff>450850</xdr:colOff>
      <xdr:row>19</xdr:row>
      <xdr:rowOff>158749</xdr:rowOff>
    </xdr:to>
    <xdr:graphicFrame macro="">
      <xdr:nvGraphicFramePr>
        <xdr:cNvPr id="9" name="Chart 8">
          <a:extLst>
            <a:ext uri="{FF2B5EF4-FFF2-40B4-BE49-F238E27FC236}">
              <a16:creationId xmlns:a16="http://schemas.microsoft.com/office/drawing/2014/main" id="{E617F27B-4067-49D7-B092-DB45FB9ADE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508000</xdr:colOff>
      <xdr:row>7</xdr:row>
      <xdr:rowOff>0</xdr:rowOff>
    </xdr:from>
    <xdr:to>
      <xdr:col>17</xdr:col>
      <xdr:colOff>184150</xdr:colOff>
      <xdr:row>19</xdr:row>
      <xdr:rowOff>152400</xdr:rowOff>
    </xdr:to>
    <xdr:graphicFrame macro="">
      <xdr:nvGraphicFramePr>
        <xdr:cNvPr id="10" name="Chart 9">
          <a:extLst>
            <a:ext uri="{FF2B5EF4-FFF2-40B4-BE49-F238E27FC236}">
              <a16:creationId xmlns:a16="http://schemas.microsoft.com/office/drawing/2014/main" id="{8E301566-3468-4478-9F19-632EFF7C35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82550</xdr:colOff>
      <xdr:row>20</xdr:row>
      <xdr:rowOff>12700</xdr:rowOff>
    </xdr:from>
    <xdr:to>
      <xdr:col>5</xdr:col>
      <xdr:colOff>368300</xdr:colOff>
      <xdr:row>31</xdr:row>
      <xdr:rowOff>171450</xdr:rowOff>
    </xdr:to>
    <xdr:graphicFrame macro="">
      <xdr:nvGraphicFramePr>
        <xdr:cNvPr id="11" name="Chart 10">
          <a:extLst>
            <a:ext uri="{FF2B5EF4-FFF2-40B4-BE49-F238E27FC236}">
              <a16:creationId xmlns:a16="http://schemas.microsoft.com/office/drawing/2014/main" id="{D186C766-7D49-48C4-8E12-51ACBB5540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412751</xdr:colOff>
      <xdr:row>20</xdr:row>
      <xdr:rowOff>19050</xdr:rowOff>
    </xdr:from>
    <xdr:to>
      <xdr:col>11</xdr:col>
      <xdr:colOff>476251</xdr:colOff>
      <xdr:row>31</xdr:row>
      <xdr:rowOff>165101</xdr:rowOff>
    </xdr:to>
    <xdr:graphicFrame macro="">
      <xdr:nvGraphicFramePr>
        <xdr:cNvPr id="12" name="Chart 11">
          <a:extLst>
            <a:ext uri="{FF2B5EF4-FFF2-40B4-BE49-F238E27FC236}">
              <a16:creationId xmlns:a16="http://schemas.microsoft.com/office/drawing/2014/main" id="{B4D21BB3-9BD3-4B62-BF05-AE7AF922DC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520700</xdr:colOff>
      <xdr:row>20</xdr:row>
      <xdr:rowOff>19050</xdr:rowOff>
    </xdr:from>
    <xdr:to>
      <xdr:col>17</xdr:col>
      <xdr:colOff>196850</xdr:colOff>
      <xdr:row>31</xdr:row>
      <xdr:rowOff>152400</xdr:rowOff>
    </xdr:to>
    <xdr:graphicFrame macro="">
      <xdr:nvGraphicFramePr>
        <xdr:cNvPr id="13" name="Chart 12">
          <a:extLst>
            <a:ext uri="{FF2B5EF4-FFF2-40B4-BE49-F238E27FC236}">
              <a16:creationId xmlns:a16="http://schemas.microsoft.com/office/drawing/2014/main" id="{A8BBDB38-88C6-4FD5-BC3B-FE32215AA8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88900</xdr:colOff>
      <xdr:row>0</xdr:row>
      <xdr:rowOff>31750</xdr:rowOff>
    </xdr:from>
    <xdr:to>
      <xdr:col>17</xdr:col>
      <xdr:colOff>177800</xdr:colOff>
      <xdr:row>2</xdr:row>
      <xdr:rowOff>127000</xdr:rowOff>
    </xdr:to>
    <xdr:sp macro="" textlink="">
      <xdr:nvSpPr>
        <xdr:cNvPr id="14" name="TextBox 13">
          <a:extLst>
            <a:ext uri="{FF2B5EF4-FFF2-40B4-BE49-F238E27FC236}">
              <a16:creationId xmlns:a16="http://schemas.microsoft.com/office/drawing/2014/main" id="{4AF86ECE-1B0A-A889-AE88-D108728CB2EF}"/>
            </a:ext>
          </a:extLst>
        </xdr:cNvPr>
        <xdr:cNvSpPr txBox="1"/>
      </xdr:nvSpPr>
      <xdr:spPr>
        <a:xfrm>
          <a:off x="88900" y="31750"/>
          <a:ext cx="10452100" cy="46355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latin typeface="Segoe UI" panose="020B0502040204020203" pitchFamily="34" charset="0"/>
              <a:cs typeface="Segoe UI" panose="020B0502040204020203" pitchFamily="34" charset="0"/>
            </a:rPr>
            <a:t>Q1 DIGITAL MARKETING &amp; ROI PERFORMANCE DASHBOARD</a:t>
          </a:r>
        </a:p>
      </xdr:txBody>
    </xdr:sp>
    <xdr:clientData/>
  </xdr:twoCellAnchor>
  <xdr:twoCellAnchor>
    <xdr:from>
      <xdr:col>0</xdr:col>
      <xdr:colOff>82550</xdr:colOff>
      <xdr:row>3</xdr:row>
      <xdr:rowOff>0</xdr:rowOff>
    </xdr:from>
    <xdr:to>
      <xdr:col>2</xdr:col>
      <xdr:colOff>63500</xdr:colOff>
      <xdr:row>6</xdr:row>
      <xdr:rowOff>114300</xdr:rowOff>
    </xdr:to>
    <xdr:sp macro="" textlink="">
      <xdr:nvSpPr>
        <xdr:cNvPr id="16" name="TextBox 15">
          <a:extLst>
            <a:ext uri="{FF2B5EF4-FFF2-40B4-BE49-F238E27FC236}">
              <a16:creationId xmlns:a16="http://schemas.microsoft.com/office/drawing/2014/main" id="{2F27D421-E7EB-D501-D948-EE6E2823AECC}"/>
            </a:ext>
          </a:extLst>
        </xdr:cNvPr>
        <xdr:cNvSpPr txBox="1"/>
      </xdr:nvSpPr>
      <xdr:spPr>
        <a:xfrm>
          <a:off x="82550" y="552450"/>
          <a:ext cx="1200150" cy="66675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none" strike="noStrike">
              <a:solidFill>
                <a:sysClr val="windowText" lastClr="000000"/>
              </a:solidFill>
              <a:effectLst/>
              <a:latin typeface="Segoe UI" panose="020B0502040204020203" pitchFamily="34" charset="0"/>
              <a:ea typeface="+mn-ea"/>
              <a:cs typeface="Segoe UI" panose="020B0502040204020203" pitchFamily="34" charset="0"/>
            </a:rPr>
            <a:t>Total Revenue:</a:t>
          </a:r>
          <a:r>
            <a:rPr lang="en-US" sz="1100" b="1">
              <a:solidFill>
                <a:sysClr val="windowText" lastClr="000000"/>
              </a:solidFill>
              <a:latin typeface="Segoe UI" panose="020B0502040204020203" pitchFamily="34" charset="0"/>
              <a:cs typeface="Segoe UI" panose="020B0502040204020203" pitchFamily="34" charset="0"/>
            </a:rPr>
            <a:t> </a:t>
          </a:r>
          <a:r>
            <a:rPr lang="en-US" sz="1100" b="1" u="none" strike="noStrike">
              <a:solidFill>
                <a:sysClr val="windowText" lastClr="000000"/>
              </a:solidFill>
              <a:effectLst/>
              <a:latin typeface="Segoe UI" panose="020B0502040204020203" pitchFamily="34" charset="0"/>
              <a:ea typeface="+mn-ea"/>
              <a:cs typeface="Segoe UI" panose="020B0502040204020203" pitchFamily="34" charset="0"/>
            </a:rPr>
            <a:t>₹42,889,366</a:t>
          </a:r>
          <a:endParaRPr lang="en-US" sz="1100" b="1">
            <a:solidFill>
              <a:sysClr val="windowText" lastClr="000000"/>
            </a:solidFill>
            <a:latin typeface="Segoe UI" panose="020B0502040204020203" pitchFamily="34" charset="0"/>
            <a:cs typeface="Segoe UI" panose="020B0502040204020203" pitchFamily="34" charset="0"/>
          </a:endParaRPr>
        </a:p>
      </xdr:txBody>
    </xdr:sp>
    <xdr:clientData/>
  </xdr:twoCellAnchor>
  <xdr:twoCellAnchor>
    <xdr:from>
      <xdr:col>2</xdr:col>
      <xdr:colOff>228600</xdr:colOff>
      <xdr:row>3</xdr:row>
      <xdr:rowOff>6350</xdr:rowOff>
    </xdr:from>
    <xdr:to>
      <xdr:col>4</xdr:col>
      <xdr:colOff>247650</xdr:colOff>
      <xdr:row>6</xdr:row>
      <xdr:rowOff>107950</xdr:rowOff>
    </xdr:to>
    <xdr:sp macro="" textlink="">
      <xdr:nvSpPr>
        <xdr:cNvPr id="17" name="TextBox 16">
          <a:extLst>
            <a:ext uri="{FF2B5EF4-FFF2-40B4-BE49-F238E27FC236}">
              <a16:creationId xmlns:a16="http://schemas.microsoft.com/office/drawing/2014/main" id="{203DCE3A-3E90-1FC2-CC4D-408AD26CB2F8}"/>
            </a:ext>
          </a:extLst>
        </xdr:cNvPr>
        <xdr:cNvSpPr txBox="1"/>
      </xdr:nvSpPr>
      <xdr:spPr>
        <a:xfrm>
          <a:off x="1447800" y="558800"/>
          <a:ext cx="1238250" cy="65405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none" strike="noStrike">
              <a:solidFill>
                <a:sysClr val="windowText" lastClr="000000"/>
              </a:solidFill>
              <a:effectLst/>
              <a:latin typeface="Segoe UI" panose="020B0502040204020203" pitchFamily="34" charset="0"/>
              <a:ea typeface="+mn-ea"/>
              <a:cs typeface="Segoe UI" panose="020B0502040204020203" pitchFamily="34" charset="0"/>
            </a:rPr>
            <a:t>Total Ad Spend:</a:t>
          </a:r>
          <a:r>
            <a:rPr lang="en-US" b="1">
              <a:solidFill>
                <a:sysClr val="windowText" lastClr="000000"/>
              </a:solidFill>
              <a:latin typeface="Segoe UI" panose="020B0502040204020203" pitchFamily="34" charset="0"/>
              <a:cs typeface="Segoe UI" panose="020B0502040204020203" pitchFamily="34" charset="0"/>
            </a:rPr>
            <a:t> </a:t>
          </a:r>
          <a:r>
            <a:rPr lang="en-US" sz="1100" b="1" u="none" strike="noStrike">
              <a:solidFill>
                <a:sysClr val="windowText" lastClr="000000"/>
              </a:solidFill>
              <a:effectLst/>
              <a:latin typeface="Segoe UI" panose="020B0502040204020203" pitchFamily="34" charset="0"/>
              <a:ea typeface="+mn-ea"/>
              <a:cs typeface="Segoe UI" panose="020B0502040204020203" pitchFamily="34" charset="0"/>
            </a:rPr>
            <a:t>₹30,590,879.82</a:t>
          </a:r>
          <a:endParaRPr lang="en-US" sz="1100" b="1">
            <a:solidFill>
              <a:sysClr val="windowText" lastClr="000000"/>
            </a:solidFill>
            <a:latin typeface="Segoe UI" panose="020B0502040204020203" pitchFamily="34" charset="0"/>
            <a:cs typeface="Segoe UI" panose="020B0502040204020203" pitchFamily="34" charset="0"/>
          </a:endParaRPr>
        </a:p>
      </xdr:txBody>
    </xdr:sp>
    <xdr:clientData/>
  </xdr:twoCellAnchor>
  <xdr:twoCellAnchor>
    <xdr:from>
      <xdr:col>4</xdr:col>
      <xdr:colOff>444500</xdr:colOff>
      <xdr:row>3</xdr:row>
      <xdr:rowOff>6350</xdr:rowOff>
    </xdr:from>
    <xdr:to>
      <xdr:col>6</xdr:col>
      <xdr:colOff>349250</xdr:colOff>
      <xdr:row>6</xdr:row>
      <xdr:rowOff>114300</xdr:rowOff>
    </xdr:to>
    <xdr:sp macro="" textlink="">
      <xdr:nvSpPr>
        <xdr:cNvPr id="18" name="TextBox 17">
          <a:extLst>
            <a:ext uri="{FF2B5EF4-FFF2-40B4-BE49-F238E27FC236}">
              <a16:creationId xmlns:a16="http://schemas.microsoft.com/office/drawing/2014/main" id="{5CCEE117-398A-6507-DE86-FECA89322827}"/>
            </a:ext>
          </a:extLst>
        </xdr:cNvPr>
        <xdr:cNvSpPr txBox="1"/>
      </xdr:nvSpPr>
      <xdr:spPr>
        <a:xfrm>
          <a:off x="2882900" y="558800"/>
          <a:ext cx="1123950" cy="6604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none" strike="noStrike">
              <a:solidFill>
                <a:sysClr val="windowText" lastClr="000000"/>
              </a:solidFill>
              <a:effectLst/>
              <a:latin typeface="Segoe UI" panose="020B0502040204020203" pitchFamily="34" charset="0"/>
              <a:ea typeface="+mn-ea"/>
              <a:cs typeface="Segoe UI" panose="020B0502040204020203" pitchFamily="34" charset="0"/>
            </a:rPr>
            <a:t>Overall ROMI: 40.2%</a:t>
          </a:r>
          <a:endParaRPr lang="en-US" sz="1100" b="1">
            <a:solidFill>
              <a:sysClr val="windowText" lastClr="000000"/>
            </a:solidFill>
            <a:latin typeface="Segoe UI" panose="020B0502040204020203" pitchFamily="34" charset="0"/>
            <a:cs typeface="Segoe UI" panose="020B0502040204020203" pitchFamily="34" charset="0"/>
          </a:endParaRPr>
        </a:p>
      </xdr:txBody>
    </xdr:sp>
    <xdr:clientData/>
  </xdr:twoCellAnchor>
  <xdr:twoCellAnchor>
    <xdr:from>
      <xdr:col>6</xdr:col>
      <xdr:colOff>546100</xdr:colOff>
      <xdr:row>3</xdr:row>
      <xdr:rowOff>12700</xdr:rowOff>
    </xdr:from>
    <xdr:to>
      <xdr:col>9</xdr:col>
      <xdr:colOff>463550</xdr:colOff>
      <xdr:row>6</xdr:row>
      <xdr:rowOff>127000</xdr:rowOff>
    </xdr:to>
    <xdr:sp macro="" textlink="">
      <xdr:nvSpPr>
        <xdr:cNvPr id="19" name="TextBox 18">
          <a:extLst>
            <a:ext uri="{FF2B5EF4-FFF2-40B4-BE49-F238E27FC236}">
              <a16:creationId xmlns:a16="http://schemas.microsoft.com/office/drawing/2014/main" id="{D3A4B2C2-8220-08A6-66D2-76F2E5CB62A4}"/>
            </a:ext>
          </a:extLst>
        </xdr:cNvPr>
        <xdr:cNvSpPr txBox="1"/>
      </xdr:nvSpPr>
      <xdr:spPr>
        <a:xfrm>
          <a:off x="4203700" y="565150"/>
          <a:ext cx="1746250" cy="66675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none" strike="noStrike">
              <a:solidFill>
                <a:sysClr val="windowText" lastClr="000000"/>
              </a:solidFill>
              <a:effectLst/>
              <a:latin typeface="Segoe UI" panose="020B0502040204020203" pitchFamily="34" charset="0"/>
              <a:ea typeface="+mn-ea"/>
              <a:cs typeface="Segoe UI" panose="020B0502040204020203" pitchFamily="34" charset="0"/>
            </a:rPr>
            <a:t>Average</a:t>
          </a:r>
          <a:r>
            <a:rPr lang="en-US" sz="1100" b="1" u="none" strike="noStrike" baseline="0">
              <a:solidFill>
                <a:sysClr val="windowText" lastClr="000000"/>
              </a:solidFill>
              <a:effectLst/>
              <a:latin typeface="Segoe UI" panose="020B0502040204020203" pitchFamily="34" charset="0"/>
              <a:ea typeface="+mn-ea"/>
              <a:cs typeface="Segoe UI" panose="020B0502040204020203" pitchFamily="34" charset="0"/>
            </a:rPr>
            <a:t> Order Value: </a:t>
          </a:r>
          <a:r>
            <a:rPr lang="en-US" sz="1100" b="1">
              <a:solidFill>
                <a:schemeClr val="dk1"/>
              </a:solidFill>
              <a:effectLst/>
              <a:latin typeface="+mn-lt"/>
              <a:ea typeface="+mn-ea"/>
              <a:cs typeface="+mn-cs"/>
            </a:rPr>
            <a:t>₹</a:t>
          </a:r>
          <a:r>
            <a:rPr lang="en-US" sz="1100" b="1" u="none" strike="noStrike" baseline="0">
              <a:solidFill>
                <a:sysClr val="windowText" lastClr="000000"/>
              </a:solidFill>
              <a:effectLst/>
              <a:latin typeface="Segoe UI" panose="020B0502040204020203" pitchFamily="34" charset="0"/>
              <a:ea typeface="+mn-ea"/>
              <a:cs typeface="Segoe UI" panose="020B0502040204020203" pitchFamily="34" charset="0"/>
            </a:rPr>
            <a:t>5332.51</a:t>
          </a:r>
          <a:endParaRPr lang="en-US" sz="1100" b="1">
            <a:solidFill>
              <a:sysClr val="windowText" lastClr="000000"/>
            </a:solidFill>
            <a:latin typeface="Segoe UI" panose="020B0502040204020203" pitchFamily="34" charset="0"/>
            <a:cs typeface="Segoe UI" panose="020B0502040204020203" pitchFamily="34" charset="0"/>
          </a:endParaRPr>
        </a:p>
      </xdr:txBody>
    </xdr:sp>
    <xdr:clientData/>
  </xdr:twoCellAnchor>
  <xdr:twoCellAnchor editAs="oneCell">
    <xdr:from>
      <xdr:col>17</xdr:col>
      <xdr:colOff>266700</xdr:colOff>
      <xdr:row>6</xdr:row>
      <xdr:rowOff>0</xdr:rowOff>
    </xdr:from>
    <xdr:to>
      <xdr:col>19</xdr:col>
      <xdr:colOff>400050</xdr:colOff>
      <xdr:row>26</xdr:row>
      <xdr:rowOff>19050</xdr:rowOff>
    </xdr:to>
    <mc:AlternateContent xmlns:mc="http://schemas.openxmlformats.org/markup-compatibility/2006">
      <mc:Choice xmlns:a14="http://schemas.microsoft.com/office/drawing/2010/main" Requires="a14">
        <xdr:graphicFrame macro="">
          <xdr:nvGraphicFramePr>
            <xdr:cNvPr id="20" name="Campaign name">
              <a:extLst>
                <a:ext uri="{FF2B5EF4-FFF2-40B4-BE49-F238E27FC236}">
                  <a16:creationId xmlns:a16="http://schemas.microsoft.com/office/drawing/2014/main" id="{712F20B9-48B3-5496-DEC1-E34FC02BCF76}"/>
                </a:ext>
              </a:extLst>
            </xdr:cNvPr>
            <xdr:cNvGraphicFramePr/>
          </xdr:nvGraphicFramePr>
          <xdr:xfrm>
            <a:off x="0" y="0"/>
            <a:ext cx="0" cy="0"/>
          </xdr:xfrm>
          <a:graphic>
            <a:graphicData uri="http://schemas.microsoft.com/office/drawing/2010/slicer">
              <sle:slicer xmlns:sle="http://schemas.microsoft.com/office/drawing/2010/slicer" name="Campaign name"/>
            </a:graphicData>
          </a:graphic>
        </xdr:graphicFrame>
      </mc:Choice>
      <mc:Fallback>
        <xdr:sp macro="" textlink="">
          <xdr:nvSpPr>
            <xdr:cNvPr id="0" name=""/>
            <xdr:cNvSpPr>
              <a:spLocks noTextEdit="1"/>
            </xdr:cNvSpPr>
          </xdr:nvSpPr>
          <xdr:spPr>
            <a:xfrm>
              <a:off x="10629900" y="1104900"/>
              <a:ext cx="1352550" cy="3702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285750</xdr:colOff>
      <xdr:row>26</xdr:row>
      <xdr:rowOff>63500</xdr:rowOff>
    </xdr:from>
    <xdr:to>
      <xdr:col>19</xdr:col>
      <xdr:colOff>412750</xdr:colOff>
      <xdr:row>31</xdr:row>
      <xdr:rowOff>152400</xdr:rowOff>
    </xdr:to>
    <mc:AlternateContent xmlns:mc="http://schemas.openxmlformats.org/markup-compatibility/2006">
      <mc:Choice xmlns:a14="http://schemas.microsoft.com/office/drawing/2010/main" Requires="a14">
        <xdr:graphicFrame macro="">
          <xdr:nvGraphicFramePr>
            <xdr:cNvPr id="21" name="GEO">
              <a:extLst>
                <a:ext uri="{FF2B5EF4-FFF2-40B4-BE49-F238E27FC236}">
                  <a16:creationId xmlns:a16="http://schemas.microsoft.com/office/drawing/2014/main" id="{0D99D4FC-1868-E48D-EF2F-7DA4E9CC27F9}"/>
                </a:ext>
              </a:extLst>
            </xdr:cNvPr>
            <xdr:cNvGraphicFramePr/>
          </xdr:nvGraphicFramePr>
          <xdr:xfrm>
            <a:off x="0" y="0"/>
            <a:ext cx="0" cy="0"/>
          </xdr:xfrm>
          <a:graphic>
            <a:graphicData uri="http://schemas.microsoft.com/office/drawing/2010/slicer">
              <sle:slicer xmlns:sle="http://schemas.microsoft.com/office/drawing/2010/slicer" name="GEO"/>
            </a:graphicData>
          </a:graphic>
        </xdr:graphicFrame>
      </mc:Choice>
      <mc:Fallback>
        <xdr:sp macro="" textlink="">
          <xdr:nvSpPr>
            <xdr:cNvPr id="0" name=""/>
            <xdr:cNvSpPr>
              <a:spLocks noTextEdit="1"/>
            </xdr:cNvSpPr>
          </xdr:nvSpPr>
          <xdr:spPr>
            <a:xfrm>
              <a:off x="10648950" y="4851400"/>
              <a:ext cx="1346200" cy="1009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254000</xdr:colOff>
      <xdr:row>0</xdr:row>
      <xdr:rowOff>25400</xdr:rowOff>
    </xdr:from>
    <xdr:to>
      <xdr:col>19</xdr:col>
      <xdr:colOff>387350</xdr:colOff>
      <xdr:row>5</xdr:row>
      <xdr:rowOff>139700</xdr:rowOff>
    </xdr:to>
    <mc:AlternateContent xmlns:mc="http://schemas.openxmlformats.org/markup-compatibility/2006">
      <mc:Choice xmlns:a14="http://schemas.microsoft.com/office/drawing/2010/main" Requires="a14">
        <xdr:graphicFrame macro="">
          <xdr:nvGraphicFramePr>
            <xdr:cNvPr id="22" name="DAY TYPE">
              <a:extLst>
                <a:ext uri="{FF2B5EF4-FFF2-40B4-BE49-F238E27FC236}">
                  <a16:creationId xmlns:a16="http://schemas.microsoft.com/office/drawing/2014/main" id="{F0C0FA67-BC64-8CF8-D0C5-E2A6F938ECC6}"/>
                </a:ext>
              </a:extLst>
            </xdr:cNvPr>
            <xdr:cNvGraphicFramePr/>
          </xdr:nvGraphicFramePr>
          <xdr:xfrm>
            <a:off x="0" y="0"/>
            <a:ext cx="0" cy="0"/>
          </xdr:xfrm>
          <a:graphic>
            <a:graphicData uri="http://schemas.microsoft.com/office/drawing/2010/slicer">
              <sle:slicer xmlns:sle="http://schemas.microsoft.com/office/drawing/2010/slicer" name="DAY TYPE"/>
            </a:graphicData>
          </a:graphic>
        </xdr:graphicFrame>
      </mc:Choice>
      <mc:Fallback>
        <xdr:sp macro="" textlink="">
          <xdr:nvSpPr>
            <xdr:cNvPr id="0" name=""/>
            <xdr:cNvSpPr>
              <a:spLocks noTextEdit="1"/>
            </xdr:cNvSpPr>
          </xdr:nvSpPr>
          <xdr:spPr>
            <a:xfrm>
              <a:off x="10617200" y="25400"/>
              <a:ext cx="1352550" cy="1035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69850</xdr:colOff>
      <xdr:row>3</xdr:row>
      <xdr:rowOff>0</xdr:rowOff>
    </xdr:from>
    <xdr:to>
      <xdr:col>17</xdr:col>
      <xdr:colOff>184150</xdr:colOff>
      <xdr:row>6</xdr:row>
      <xdr:rowOff>127000</xdr:rowOff>
    </xdr:to>
    <xdr:sp macro="" textlink="">
      <xdr:nvSpPr>
        <xdr:cNvPr id="23" name="TextBox 22">
          <a:extLst>
            <a:ext uri="{FF2B5EF4-FFF2-40B4-BE49-F238E27FC236}">
              <a16:creationId xmlns:a16="http://schemas.microsoft.com/office/drawing/2014/main" id="{67FF0173-EB68-D864-BBCC-3618411C5992}"/>
            </a:ext>
          </a:extLst>
        </xdr:cNvPr>
        <xdr:cNvSpPr txBox="1"/>
      </xdr:nvSpPr>
      <xdr:spPr>
        <a:xfrm>
          <a:off x="6165850" y="552450"/>
          <a:ext cx="4381500" cy="67945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n-US" sz="1600" b="1" u="none" strike="noStrike">
              <a:solidFill>
                <a:schemeClr val="dk1"/>
              </a:solidFill>
              <a:effectLst/>
              <a:latin typeface="Segoe UI" panose="020B0502040204020203" pitchFamily="34" charset="0"/>
              <a:ea typeface="+mn-ea"/>
              <a:cs typeface="Segoe UI" panose="020B0502040204020203" pitchFamily="34" charset="0"/>
            </a:rPr>
            <a:t>Prepared</a:t>
          </a:r>
          <a:r>
            <a:rPr lang="en-US" sz="1600" b="1" u="none" strike="noStrike" baseline="0">
              <a:solidFill>
                <a:schemeClr val="dk1"/>
              </a:solidFill>
              <a:effectLst/>
              <a:latin typeface="Segoe UI" panose="020B0502040204020203" pitchFamily="34" charset="0"/>
              <a:ea typeface="+mn-ea"/>
              <a:cs typeface="Segoe UI" panose="020B0502040204020203" pitchFamily="34" charset="0"/>
            </a:rPr>
            <a:t> By</a:t>
          </a:r>
          <a:r>
            <a:rPr lang="en-US" sz="1600" b="1" u="none" strike="noStrike">
              <a:solidFill>
                <a:schemeClr val="dk1"/>
              </a:solidFill>
              <a:effectLst/>
              <a:latin typeface="Segoe UI" panose="020B0502040204020203" pitchFamily="34" charset="0"/>
              <a:ea typeface="+mn-ea"/>
              <a:cs typeface="Segoe UI" panose="020B0502040204020203" pitchFamily="34" charset="0"/>
            </a:rPr>
            <a:t> • Mowaninuola Umarudeen</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mePC" refreshedDate="46270.532371643516" createdVersion="8" refreshedVersion="8" minRefreshableVersion="3" recordCount="308" xr:uid="{8D4DF0DF-02FF-49F3-8C02-0DDE14F45D4C}">
  <cacheSource type="worksheet">
    <worksheetSource name="Marketing"/>
  </cacheSource>
  <cacheFields count="31">
    <cacheField name="id" numFmtId="0">
      <sharedItems containsSemiMixedTypes="0" containsString="0" containsNumber="1" containsInteger="1" minValue="1" maxValue="308"/>
    </cacheField>
    <cacheField name="MONTH" numFmtId="0">
      <sharedItems/>
    </cacheField>
    <cacheField name="DAY" numFmtId="0">
      <sharedItems/>
    </cacheField>
    <cacheField name="Calendar Date" numFmtId="14">
      <sharedItems containsSemiMixedTypes="0" containsNonDate="0" containsDate="1" containsString="0" minDate="2021-02-01T00:00:00" maxDate="2021-03-01T00:00:00" count="28">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sharedItems>
    </cacheField>
    <cacheField name="Campaign name" numFmtId="0">
      <sharedItems count="11">
        <s v="facebook_tier1"/>
        <s v="Facebook_tier2"/>
        <s v="google_hot"/>
        <s v="google_wide"/>
        <s v="youtube_blogger"/>
        <s v="instagram_tier1"/>
        <s v="instagram_tier2"/>
        <s v="facebook_retargeting"/>
        <s v="facebook_lal"/>
        <s v="instagram_blogger"/>
        <s v="banner_partner"/>
      </sharedItems>
    </cacheField>
    <cacheField name="Campaign category" numFmtId="0">
      <sharedItems count="4">
        <s v="social"/>
        <s v="search"/>
        <s v="influencer"/>
        <s v="media"/>
      </sharedItems>
    </cacheField>
    <cacheField name="Campaign id" numFmtId="0">
      <sharedItems containsSemiMixedTypes="0" containsString="0" containsNumber="1" containsInteger="1" minValue="10934" maxValue="89459845"/>
    </cacheField>
    <cacheField name="Impressions" numFmtId="0">
      <sharedItems containsSemiMixedTypes="0" containsString="0" containsNumber="1" containsInteger="1" minValue="667" maxValue="419970000"/>
    </cacheField>
    <cacheField name="Mark spent" numFmtId="164">
      <sharedItems containsSemiMixedTypes="0" containsString="0" containsNumber="1" minValue="169.75" maxValue="880357"/>
    </cacheField>
    <cacheField name="Clicks" numFmtId="0">
      <sharedItems containsSemiMixedTypes="0" containsString="0" containsNumber="1" containsInteger="1" minValue="20" maxValue="61195"/>
    </cacheField>
    <cacheField name="Leads" numFmtId="0">
      <sharedItems containsSemiMixedTypes="0" containsString="0" containsNumber="1" containsInteger="1" minValue="0" maxValue="1678"/>
    </cacheField>
    <cacheField name="Orders" numFmtId="0">
      <sharedItems containsSemiMixedTypes="0" containsString="0" containsNumber="1" containsInteger="1" minValue="0" maxValue="369"/>
    </cacheField>
    <cacheField name="Revenue" numFmtId="164">
      <sharedItems containsSemiMixedTypes="0" containsString="0" containsNumber="1" containsInteger="1" minValue="0" maxValue="2812520"/>
    </cacheField>
    <cacheField name="ROMI %" numFmtId="166">
      <sharedItems containsSemiMixedTypes="0" containsString="0" containsNumber="1" minValue="-0.01" maxValue="5.593987313049003E-2"/>
    </cacheField>
    <cacheField name="CTR %" numFmtId="167">
      <sharedItems containsSemiMixedTypes="0" containsString="0" containsNumber="1" minValue="7.9424768592833956E-7" maxValue="3.3555917176364961E-4"/>
    </cacheField>
    <cacheField name="CR1(VL) %" numFmtId="168">
      <sharedItems containsSemiMixedTypes="0" containsString="0" containsNumber="1" minValue="0" maxValue="4.5454545454545455E-4"/>
    </cacheField>
    <cacheField name="CR2(LO) %" numFmtId="167">
      <sharedItems containsSemiMixedTypes="0" containsString="0" containsNumber="1" minValue="0" maxValue="3.3333333333333331E-3"/>
    </cacheField>
    <cacheField name="AVERAGE ORDER VALUE" numFmtId="164">
      <sharedItems containsSemiMixedTypes="0" containsString="0" containsNumber="1" minValue="0" maxValue="8980"/>
    </cacheField>
    <cacheField name="COST PER CLICK" numFmtId="164">
      <sharedItems containsSemiMixedTypes="0" containsString="0" containsNumber="1" minValue="4.3053293856402663E-2" maxValue="54.772954924874789"/>
    </cacheField>
    <cacheField name="COST PER LEAD" numFmtId="164">
      <sharedItems containsSemiMixedTypes="0" containsString="0" containsNumber="1" minValue="0" maxValue="1694.8591549295775"/>
    </cacheField>
    <cacheField name="GROSS PROFIT" numFmtId="164">
      <sharedItems containsSemiMixedTypes="0" containsString="0" containsNumber="1" minValue="-360030" maxValue="1932163"/>
    </cacheField>
    <cacheField name="CAC" numFmtId="164">
      <sharedItems containsSemiMixedTypes="0" containsString="0" containsNumber="1" minValue="0" maxValue="10104.9"/>
    </cacheField>
    <cacheField name="GEO" numFmtId="0">
      <sharedItems count="2">
        <s v="Tier 1"/>
        <s v="Tier 2"/>
      </sharedItems>
    </cacheField>
    <cacheField name="GEO2" numFmtId="0">
      <sharedItems/>
    </cacheField>
    <cacheField name="DAY TYPE" numFmtId="0">
      <sharedItems count="2">
        <s v="Weekday"/>
        <s v="Weekend"/>
      </sharedItems>
    </cacheField>
    <cacheField name="Campaign ROMI" numFmtId="0" formula=" (Revenue-'Mark spent')/'Mark spent'" databaseField="0"/>
    <cacheField name="Overall MOI" numFmtId="0" formula=" SUM(Revenue) - SUM('Mark spent')/ SUM('Mark spent')" databaseField="0"/>
    <cacheField name="Overall ROMI" numFmtId="0" formula="(Revenue-'Mark spent') /'Mark spent'" databaseField="0"/>
    <cacheField name="True_CR1" numFmtId="0" formula="Leads/Clicks" databaseField="0"/>
    <cacheField name="True_CR2" numFmtId="0" formula="Orders/Leads" databaseField="0"/>
    <cacheField name="True ROMI %" numFmtId="0" formula="(((Revenue-'Mark spent') /'Mark spent') * 100) / 100" databaseField="0"/>
  </cacheFields>
  <extLst>
    <ext xmlns:x14="http://schemas.microsoft.com/office/spreadsheetml/2009/9/main" uri="{725AE2AE-9491-48be-B2B4-4EB974FC3084}">
      <x14:pivotCacheDefinition pivotCacheId="9786491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8">
  <r>
    <n v="1"/>
    <s v="February"/>
    <s v="Monday"/>
    <x v="0"/>
    <x v="0"/>
    <x v="0"/>
    <n v="349043"/>
    <n v="148263"/>
    <n v="7307.37"/>
    <n v="1210"/>
    <n v="13"/>
    <n v="1"/>
    <n v="4981"/>
    <n v="-3.1835940974659829E-3"/>
    <n v="8.161173050592527E-5"/>
    <n v="1.0743801652892562E-4"/>
    <n v="7.6923076923076923E-4"/>
    <n v="4981"/>
    <n v="6.039148760330578"/>
    <n v="562.10538461538465"/>
    <n v="-2326.37"/>
    <n v="7307.37"/>
    <x v="0"/>
    <s v="Tier 1"/>
    <x v="0"/>
  </r>
  <r>
    <n v="2"/>
    <s v="February"/>
    <s v="Monday"/>
    <x v="0"/>
    <x v="1"/>
    <x v="0"/>
    <n v="348934"/>
    <n v="220688"/>
    <n v="16300.2"/>
    <n v="1640"/>
    <n v="48"/>
    <n v="3"/>
    <n v="14962"/>
    <n v="-8.209715218218186E-4"/>
    <n v="7.4313057347930107E-5"/>
    <n v="2.9268292682926834E-4"/>
    <n v="6.2500000000000001E-4"/>
    <n v="4987.333333333333"/>
    <n v="9.9391463414634149"/>
    <n v="339.58750000000003"/>
    <n v="-1338.2000000000007"/>
    <n v="5433.4000000000005"/>
    <x v="1"/>
    <s v="Tier 2"/>
    <x v="0"/>
  </r>
  <r>
    <n v="3"/>
    <s v="February"/>
    <s v="Monday"/>
    <x v="0"/>
    <x v="2"/>
    <x v="1"/>
    <n v="89459845"/>
    <n v="22850"/>
    <n v="5221.6000000000004"/>
    <n v="457"/>
    <n v="9"/>
    <n v="1"/>
    <n v="7981"/>
    <n v="5.2845870997395425E-3"/>
    <n v="2.0000000000000001E-4"/>
    <n v="1.9693654266958425E-4"/>
    <n v="1.1111111111111111E-3"/>
    <n v="7981"/>
    <n v="11.42582056892779"/>
    <n v="580.17777777777781"/>
    <n v="2759.3999999999996"/>
    <n v="5221.6000000000004"/>
    <x v="1"/>
    <s v="Tier 2"/>
    <x v="0"/>
  </r>
  <r>
    <n v="4"/>
    <s v="February"/>
    <s v="Monday"/>
    <x v="0"/>
    <x v="3"/>
    <x v="1"/>
    <n v="127823"/>
    <n v="147038"/>
    <n v="6037"/>
    <n v="1196"/>
    <n v="24"/>
    <n v="1"/>
    <n v="2114"/>
    <n v="-6.4982607255259237E-3"/>
    <n v="8.1339517675702871E-5"/>
    <n v="2.0066889632107025E-4"/>
    <n v="4.1666666666666664E-4"/>
    <n v="2114"/>
    <n v="5.0476588628762542"/>
    <n v="251.54166666666666"/>
    <n v="-3923"/>
    <n v="6037"/>
    <x v="1"/>
    <s v="Tier 2"/>
    <x v="0"/>
  </r>
  <r>
    <n v="5"/>
    <s v="February"/>
    <s v="Monday"/>
    <x v="0"/>
    <x v="4"/>
    <x v="2"/>
    <n v="10934"/>
    <n v="225800"/>
    <n v="29962.2"/>
    <n v="2258"/>
    <n v="49"/>
    <n v="10"/>
    <n v="84490"/>
    <n v="1.8198863901849664E-2"/>
    <n v="1E-4"/>
    <n v="2.1700620017714792E-4"/>
    <n v="2.0408163265306124E-3"/>
    <n v="8449"/>
    <n v="13.269353410097432"/>
    <n v="611.47346938775513"/>
    <n v="54527.8"/>
    <n v="2996.2200000000003"/>
    <x v="1"/>
    <s v="Tier 2"/>
    <x v="0"/>
  </r>
  <r>
    <n v="6"/>
    <s v="February"/>
    <s v="Monday"/>
    <x v="0"/>
    <x v="5"/>
    <x v="0"/>
    <n v="9034945"/>
    <n v="444857"/>
    <n v="9540.01"/>
    <n v="1342"/>
    <n v="27"/>
    <n v="3"/>
    <n v="17943"/>
    <n v="8.8081563855803083E-3"/>
    <n v="3.0166997484584933E-5"/>
    <n v="2.0119225037257824E-4"/>
    <n v="1.1111111111111111E-3"/>
    <n v="5981"/>
    <n v="7.1088002980625937"/>
    <n v="353.33370370370369"/>
    <n v="8402.99"/>
    <n v="3180.0033333333336"/>
    <x v="0"/>
    <s v="Tier 1"/>
    <x v="0"/>
  </r>
  <r>
    <n v="7"/>
    <s v="February"/>
    <s v="Monday"/>
    <x v="0"/>
    <x v="6"/>
    <x v="0"/>
    <n v="983498"/>
    <n v="511200"/>
    <n v="3648.9"/>
    <n v="2556"/>
    <n v="94"/>
    <n v="1"/>
    <n v="1981"/>
    <n v="-4.5709665926717642E-3"/>
    <n v="5.0000000000000002E-5"/>
    <n v="3.6776212832550863E-4"/>
    <n v="1.0638297872340425E-4"/>
    <n v="1981"/>
    <n v="1.4275821596244131"/>
    <n v="38.818085106382981"/>
    <n v="-1667.9"/>
    <n v="3648.9"/>
    <x v="1"/>
    <s v="Tier 2"/>
    <x v="0"/>
  </r>
  <r>
    <n v="8"/>
    <s v="February"/>
    <s v="Monday"/>
    <x v="0"/>
    <x v="7"/>
    <x v="0"/>
    <n v="4387490"/>
    <n v="5544"/>
    <n v="1293.55"/>
    <n v="148"/>
    <n v="3"/>
    <n v="1"/>
    <n v="4981"/>
    <n v="2.85064357775115E-2"/>
    <n v="2.6695526695526696E-4"/>
    <n v="2.0270270270270272E-4"/>
    <n v="3.3333333333333331E-3"/>
    <n v="4981"/>
    <n v="8.7402027027027032"/>
    <n v="431.18333333333334"/>
    <n v="3687.45"/>
    <n v="1293.55"/>
    <x v="1"/>
    <s v="Tier 2"/>
    <x v="0"/>
  </r>
  <r>
    <n v="9"/>
    <s v="February"/>
    <s v="Monday"/>
    <x v="0"/>
    <x v="8"/>
    <x v="0"/>
    <n v="544756"/>
    <n v="56916"/>
    <n v="16997.8"/>
    <n v="596"/>
    <n v="14"/>
    <n v="2"/>
    <n v="4162"/>
    <n v="-7.5514478344256321E-3"/>
    <n v="1.0471572141401363E-4"/>
    <n v="2.348993288590604E-4"/>
    <n v="1.4285714285714286E-3"/>
    <n v="2081"/>
    <n v="28.51979865771812"/>
    <n v="1214.1285714285714"/>
    <n v="-12835.8"/>
    <n v="8498.9"/>
    <x v="1"/>
    <s v="Tier 2"/>
    <x v="0"/>
  </r>
  <r>
    <n v="10"/>
    <s v="February"/>
    <s v="Monday"/>
    <x v="0"/>
    <x v="9"/>
    <x v="2"/>
    <n v="374754"/>
    <n v="120436"/>
    <n v="23604.1"/>
    <n v="1498"/>
    <n v="49"/>
    <n v="7"/>
    <n v="39081"/>
    <n v="6.55686935744214E-3"/>
    <n v="1.2438141419509116E-4"/>
    <n v="3.2710280373831772E-4"/>
    <n v="1.4285714285714286E-3"/>
    <n v="5583"/>
    <n v="15.757076101468623"/>
    <n v="481.71632653061221"/>
    <n v="15476.900000000001"/>
    <n v="3372.0142857142855"/>
    <x v="1"/>
    <s v="Tier 2"/>
    <x v="0"/>
  </r>
  <r>
    <n v="11"/>
    <s v="February"/>
    <s v="Monday"/>
    <x v="0"/>
    <x v="10"/>
    <x v="3"/>
    <n v="39889"/>
    <n v="20900000"/>
    <n v="931.99"/>
    <n v="2090"/>
    <n v="3"/>
    <n v="0"/>
    <n v="0"/>
    <n v="-0.01"/>
    <n v="9.9999999999999995E-7"/>
    <n v="1.4354066985645932E-5"/>
    <n v="0"/>
    <n v="0"/>
    <n v="0.44592822966507178"/>
    <n v="310.66333333333336"/>
    <n v="-931.99"/>
    <n v="0"/>
    <x v="1"/>
    <s v="Tier 2"/>
    <x v="0"/>
  </r>
  <r>
    <n v="12"/>
    <s v="February"/>
    <s v="Tuesday"/>
    <x v="1"/>
    <x v="0"/>
    <x v="0"/>
    <n v="349043"/>
    <n v="478200"/>
    <n v="18385.3"/>
    <n v="2391"/>
    <n v="48"/>
    <n v="4"/>
    <n v="17812"/>
    <n v="-3.1182520818262376E-4"/>
    <n v="5.0000000000000002E-5"/>
    <n v="2.0075282308657465E-4"/>
    <n v="8.3333333333333328E-4"/>
    <n v="4453"/>
    <n v="7.6893768297783351"/>
    <n v="383.02708333333334"/>
    <n v="-573.29999999999927"/>
    <n v="4596.3249999999998"/>
    <x v="0"/>
    <s v="Tier 1"/>
    <x v="0"/>
  </r>
  <r>
    <n v="13"/>
    <s v="February"/>
    <s v="Tuesday"/>
    <x v="1"/>
    <x v="1"/>
    <x v="0"/>
    <n v="348934"/>
    <n v="957806"/>
    <n v="2198.0500000000002"/>
    <n v="3294"/>
    <n v="10"/>
    <n v="0"/>
    <n v="0"/>
    <n v="-0.01"/>
    <n v="3.4391097988527946E-5"/>
    <n v="3.0358227079538553E-5"/>
    <n v="0"/>
    <n v="0"/>
    <n v="0.66728901032179722"/>
    <n v="219.80500000000001"/>
    <n v="-2198.0500000000002"/>
    <n v="0"/>
    <x v="1"/>
    <s v="Tier 2"/>
    <x v="0"/>
  </r>
  <r>
    <n v="14"/>
    <s v="February"/>
    <s v="Tuesday"/>
    <x v="1"/>
    <x v="2"/>
    <x v="1"/>
    <n v="89459845"/>
    <n v="43806"/>
    <n v="11446.7"/>
    <n v="907"/>
    <n v="18"/>
    <n v="3"/>
    <n v="23943"/>
    <n v="1.0916945495208226E-2"/>
    <n v="2.0704926265808336E-4"/>
    <n v="1.9845644983461963E-4"/>
    <n v="1.6666666666666666E-3"/>
    <n v="7981"/>
    <n v="12.62039691289967"/>
    <n v="635.92777777777781"/>
    <n v="12496.3"/>
    <n v="3815.5666666666671"/>
    <x v="1"/>
    <s v="Tier 2"/>
    <x v="0"/>
  </r>
  <r>
    <n v="15"/>
    <s v="February"/>
    <s v="Tuesday"/>
    <x v="1"/>
    <x v="3"/>
    <x v="1"/>
    <n v="127823"/>
    <n v="314704"/>
    <n v="15153.6"/>
    <n v="2395"/>
    <n v="39"/>
    <n v="4"/>
    <n v="12540"/>
    <n v="-1.7247386759581885E-3"/>
    <n v="7.6103258935380542E-5"/>
    <n v="1.6283924843423802E-4"/>
    <n v="1.0256410256410256E-3"/>
    <n v="3135"/>
    <n v="6.3271816283924842"/>
    <n v="388.55384615384617"/>
    <n v="-2613.6000000000004"/>
    <n v="3788.4"/>
    <x v="1"/>
    <s v="Tier 2"/>
    <x v="0"/>
  </r>
  <r>
    <n v="16"/>
    <s v="February"/>
    <s v="Tuesday"/>
    <x v="1"/>
    <x v="4"/>
    <x v="2"/>
    <n v="10934"/>
    <n v="449200"/>
    <n v="42301.1"/>
    <n v="4492"/>
    <n v="85"/>
    <n v="17"/>
    <n v="149141"/>
    <n v="2.5257002772977533E-2"/>
    <n v="1E-4"/>
    <n v="1.892252894033838E-4"/>
    <n v="2E-3"/>
    <n v="8773"/>
    <n v="9.416985752448797"/>
    <n v="497.65999999999997"/>
    <n v="106839.9"/>
    <n v="2488.2999999999997"/>
    <x v="1"/>
    <s v="Tier 2"/>
    <x v="0"/>
  </r>
  <r>
    <n v="17"/>
    <s v="February"/>
    <s v="Tuesday"/>
    <x v="1"/>
    <x v="5"/>
    <x v="0"/>
    <n v="9034945"/>
    <n v="540200"/>
    <n v="29081.1"/>
    <n v="2701"/>
    <n v="54"/>
    <n v="9"/>
    <n v="45585"/>
    <n v="5.6751292076296991E-3"/>
    <n v="5.0000000000000002E-5"/>
    <n v="1.9992595335061088E-4"/>
    <n v="1.6666666666666666E-3"/>
    <n v="5065"/>
    <n v="10.766790077748981"/>
    <n v="538.53888888888889"/>
    <n v="16503.900000000001"/>
    <n v="3231.2333333333331"/>
    <x v="0"/>
    <s v="Tier 1"/>
    <x v="0"/>
  </r>
  <r>
    <n v="18"/>
    <s v="February"/>
    <s v="Tuesday"/>
    <x v="1"/>
    <x v="6"/>
    <x v="0"/>
    <n v="983498"/>
    <n v="1020800"/>
    <n v="1421.34"/>
    <n v="5104"/>
    <n v="14"/>
    <n v="0"/>
    <n v="0"/>
    <n v="-0.01"/>
    <n v="5.0000000000000002E-5"/>
    <n v="2.7429467084639498E-5"/>
    <n v="0"/>
    <n v="0"/>
    <n v="0.27847570532915361"/>
    <n v="101.52428571428571"/>
    <n v="-1421.34"/>
    <n v="0"/>
    <x v="1"/>
    <s v="Tier 2"/>
    <x v="0"/>
  </r>
  <r>
    <n v="19"/>
    <s v="February"/>
    <s v="Tuesday"/>
    <x v="1"/>
    <x v="7"/>
    <x v="0"/>
    <n v="4387490"/>
    <n v="10033"/>
    <n v="169.75"/>
    <n v="301"/>
    <n v="0"/>
    <n v="0"/>
    <n v="0"/>
    <n v="-0.01"/>
    <n v="3.000099671085418E-4"/>
    <n v="0"/>
    <n v="0"/>
    <n v="0"/>
    <n v="0.56395348837209303"/>
    <n v="0"/>
    <n v="-169.75"/>
    <n v="0"/>
    <x v="1"/>
    <s v="Tier 2"/>
    <x v="0"/>
  </r>
  <r>
    <n v="20"/>
    <s v="February"/>
    <s v="Tuesday"/>
    <x v="1"/>
    <x v="8"/>
    <x v="0"/>
    <n v="544756"/>
    <n v="107553"/>
    <n v="8829.07"/>
    <n v="1196"/>
    <n v="7"/>
    <n v="1"/>
    <n v="1129"/>
    <n v="-8.721269624094044E-3"/>
    <n v="1.1120098927970397E-4"/>
    <n v="5.8528428093645479E-5"/>
    <n v="1.4285714285714286E-3"/>
    <n v="1129"/>
    <n v="7.3821655518394644"/>
    <n v="1261.2957142857142"/>
    <n v="-7700.07"/>
    <n v="8829.07"/>
    <x v="1"/>
    <s v="Tier 2"/>
    <x v="0"/>
  </r>
  <r>
    <n v="21"/>
    <s v="February"/>
    <s v="Tuesday"/>
    <x v="1"/>
    <x v="9"/>
    <x v="2"/>
    <n v="374754"/>
    <n v="299600"/>
    <n v="13919.1"/>
    <n v="2996"/>
    <n v="19"/>
    <n v="3"/>
    <n v="14466"/>
    <n v="3.9291333491389501E-4"/>
    <n v="1E-4"/>
    <n v="6.341789052069426E-5"/>
    <n v="1.5789473684210526E-3"/>
    <n v="4822"/>
    <n v="4.6458945260347129"/>
    <n v="732.58421052631581"/>
    <n v="546.89999999999964"/>
    <n v="4639.7"/>
    <x v="1"/>
    <s v="Tier 2"/>
    <x v="0"/>
  </r>
  <r>
    <n v="22"/>
    <s v="February"/>
    <s v="Tuesday"/>
    <x v="1"/>
    <x v="10"/>
    <x v="3"/>
    <n v="39889"/>
    <n v="42000000"/>
    <n v="46159.8"/>
    <n v="4200"/>
    <n v="92"/>
    <n v="13"/>
    <n v="51753"/>
    <n v="1.2117036902239604E-3"/>
    <n v="9.9999999999999995E-7"/>
    <n v="2.1904761904761907E-4"/>
    <n v="1.4130434782608694E-3"/>
    <n v="3981"/>
    <n v="10.990428571428572"/>
    <n v="501.73695652173916"/>
    <n v="5593.1999999999971"/>
    <n v="3550.7538461538466"/>
    <x v="1"/>
    <s v="Tier 2"/>
    <x v="0"/>
  </r>
  <r>
    <n v="23"/>
    <s v="February"/>
    <s v="Wednesday"/>
    <x v="2"/>
    <x v="0"/>
    <x v="0"/>
    <n v="349043"/>
    <n v="2313889"/>
    <n v="65284.4"/>
    <n v="7197"/>
    <n v="115"/>
    <n v="13"/>
    <n v="72527"/>
    <n v="1.1093921365594229E-3"/>
    <n v="3.1103479898992564E-5"/>
    <n v="1.5978880088925941E-4"/>
    <n v="1.1304347826086956E-3"/>
    <n v="5579"/>
    <n v="9.0710573850215361"/>
    <n v="567.69043478260869"/>
    <n v="7242.5999999999985"/>
    <n v="5021.876923076923"/>
    <x v="0"/>
    <s v="Tier 1"/>
    <x v="0"/>
  </r>
  <r>
    <n v="24"/>
    <s v="February"/>
    <s v="Wednesday"/>
    <x v="2"/>
    <x v="1"/>
    <x v="0"/>
    <n v="348934"/>
    <n v="1105666"/>
    <n v="78958.3"/>
    <n v="9898"/>
    <n v="226"/>
    <n v="12"/>
    <n v="59772"/>
    <n v="-2.4299282026082124E-3"/>
    <n v="8.9520705167745048E-5"/>
    <n v="2.2832895534451406E-4"/>
    <n v="5.3097345132743366E-4"/>
    <n v="4981"/>
    <n v="7.9771974136189128"/>
    <n v="349.37300884955755"/>
    <n v="-19186.300000000003"/>
    <n v="6579.8583333333336"/>
    <x v="1"/>
    <s v="Tier 2"/>
    <x v="0"/>
  </r>
  <r>
    <n v="25"/>
    <s v="February"/>
    <s v="Wednesday"/>
    <x v="2"/>
    <x v="2"/>
    <x v="1"/>
    <n v="89459845"/>
    <n v="134900"/>
    <n v="77345.5"/>
    <n v="2698"/>
    <n v="84"/>
    <n v="16"/>
    <n v="115856"/>
    <n v="4.9790226968601924E-3"/>
    <n v="2.0000000000000001E-4"/>
    <n v="3.1134173461823574E-4"/>
    <n v="1.9047619047619048E-3"/>
    <n v="7241"/>
    <n v="28.667716827279467"/>
    <n v="920.77976190476193"/>
    <n v="38510.5"/>
    <n v="4834.09375"/>
    <x v="1"/>
    <s v="Tier 2"/>
    <x v="0"/>
  </r>
  <r>
    <n v="26"/>
    <s v="February"/>
    <s v="Wednesday"/>
    <x v="2"/>
    <x v="3"/>
    <x v="1"/>
    <n v="127823"/>
    <n v="4371854"/>
    <n v="49498.9"/>
    <n v="7207"/>
    <n v="144"/>
    <n v="13"/>
    <n v="38753"/>
    <n v="-2.1709371319362657E-3"/>
    <n v="1.6484996982973358E-5"/>
    <n v="1.9980574441515195E-4"/>
    <n v="9.0277777777777774E-4"/>
    <n v="2981"/>
    <n v="6.8681698348827531"/>
    <n v="343.74236111111111"/>
    <n v="-10745.900000000001"/>
    <n v="3807.6076923076926"/>
    <x v="1"/>
    <s v="Tier 2"/>
    <x v="0"/>
  </r>
  <r>
    <n v="27"/>
    <s v="February"/>
    <s v="Wednesday"/>
    <x v="2"/>
    <x v="4"/>
    <x v="2"/>
    <n v="10934"/>
    <n v="1035261"/>
    <n v="189341"/>
    <n v="13503"/>
    <n v="455"/>
    <n v="91"/>
    <n v="772499"/>
    <n v="3.0799351434713032E-2"/>
    <n v="1.3043087685134474E-4"/>
    <n v="3.3696215655780194E-4"/>
    <n v="2E-3"/>
    <n v="8489"/>
    <n v="14.022143227430941"/>
    <n v="416.13406593406592"/>
    <n v="583158"/>
    <n v="2080.6703296703295"/>
    <x v="1"/>
    <s v="Tier 2"/>
    <x v="0"/>
  </r>
  <r>
    <n v="28"/>
    <s v="February"/>
    <s v="Wednesday"/>
    <x v="2"/>
    <x v="5"/>
    <x v="0"/>
    <n v="9034945"/>
    <n v="1618600"/>
    <n v="62509.8"/>
    <n v="8093"/>
    <n v="166"/>
    <n v="15"/>
    <n v="84600"/>
    <n v="3.5338778879471693E-3"/>
    <n v="5.0000000000000002E-5"/>
    <n v="2.0511553194118372E-4"/>
    <n v="9.0361445783132533E-4"/>
    <n v="5640"/>
    <n v="7.7239342641789204"/>
    <n v="376.56506024096387"/>
    <n v="22090.199999999997"/>
    <n v="4167.3200000000006"/>
    <x v="0"/>
    <s v="Tier 1"/>
    <x v="0"/>
  </r>
  <r>
    <n v="29"/>
    <s v="February"/>
    <s v="Wednesday"/>
    <x v="2"/>
    <x v="6"/>
    <x v="0"/>
    <n v="983498"/>
    <n v="3059600"/>
    <n v="94399.9"/>
    <n v="15298"/>
    <n v="592"/>
    <n v="36"/>
    <n v="104184"/>
    <n v="1.0364523691232732E-3"/>
    <n v="5.0000000000000002E-5"/>
    <n v="3.869786900248399E-4"/>
    <n v="6.0810810810810819E-4"/>
    <n v="2894"/>
    <n v="6.170734736566871"/>
    <n v="159.45929054054054"/>
    <n v="9784.1000000000058"/>
    <n v="2622.2194444444444"/>
    <x v="1"/>
    <s v="Tier 2"/>
    <x v="0"/>
  </r>
  <r>
    <n v="30"/>
    <s v="February"/>
    <s v="Wednesday"/>
    <x v="2"/>
    <x v="7"/>
    <x v="0"/>
    <n v="4387490"/>
    <n v="29867"/>
    <n v="5039.51"/>
    <n v="896"/>
    <n v="18"/>
    <n v="4"/>
    <n v="23560"/>
    <n v="3.6750576941012116E-2"/>
    <n v="2.9999665182308234E-4"/>
    <n v="2.0089285714285717E-4"/>
    <n v="2.2222222222222222E-3"/>
    <n v="5890"/>
    <n v="5.6244531250000005"/>
    <n v="279.97277777777776"/>
    <n v="18520.489999999998"/>
    <n v="1259.8775000000001"/>
    <x v="1"/>
    <s v="Tier 2"/>
    <x v="0"/>
  </r>
  <r>
    <n v="31"/>
    <s v="February"/>
    <s v="Wednesday"/>
    <x v="2"/>
    <x v="8"/>
    <x v="0"/>
    <n v="544756"/>
    <n v="295009"/>
    <n v="76716.399999999994"/>
    <n v="3595"/>
    <n v="72"/>
    <n v="9"/>
    <n v="5607"/>
    <n v="-9.2691262885119738E-3"/>
    <n v="1.2186068899592894E-4"/>
    <n v="2.0027816411682893E-4"/>
    <n v="1.25E-3"/>
    <n v="623"/>
    <n v="21.339749652294852"/>
    <n v="1065.5055555555555"/>
    <n v="-71109.399999999994"/>
    <n v="8524.0444444444438"/>
    <x v="1"/>
    <s v="Tier 2"/>
    <x v="0"/>
  </r>
  <r>
    <n v="32"/>
    <s v="February"/>
    <s v="Wednesday"/>
    <x v="2"/>
    <x v="9"/>
    <x v="2"/>
    <n v="374754"/>
    <n v="667352"/>
    <n v="194336"/>
    <n v="8996"/>
    <n v="342"/>
    <n v="51"/>
    <n v="254031"/>
    <n v="3.0717417256710027E-3"/>
    <n v="1.348014241359882E-4"/>
    <n v="3.8016896398399285E-4"/>
    <n v="1.4912280701754384E-3"/>
    <n v="4981"/>
    <n v="21.602489995553579"/>
    <n v="568.23391812865498"/>
    <n v="59695"/>
    <n v="3810.5098039215686"/>
    <x v="1"/>
    <s v="Tier 2"/>
    <x v="0"/>
  </r>
  <r>
    <n v="33"/>
    <s v="February"/>
    <s v="Wednesday"/>
    <x v="2"/>
    <x v="10"/>
    <x v="3"/>
    <n v="39889"/>
    <n v="125910000"/>
    <n v="29378.3"/>
    <n v="12591"/>
    <n v="68"/>
    <n v="13"/>
    <n v="51753"/>
    <n v="7.6160635571152855E-3"/>
    <n v="9.9999999999999995E-7"/>
    <n v="5.4006830275593677E-5"/>
    <n v="1.9117647058823528E-3"/>
    <n v="3981"/>
    <n v="2.3332777380668732"/>
    <n v="432.03382352941173"/>
    <n v="22374.7"/>
    <n v="2259.8692307692309"/>
    <x v="1"/>
    <s v="Tier 2"/>
    <x v="0"/>
  </r>
  <r>
    <n v="34"/>
    <s v="February"/>
    <s v="Thursday"/>
    <x v="3"/>
    <x v="0"/>
    <x v="0"/>
    <n v="349043"/>
    <n v="2475754"/>
    <n v="173914"/>
    <n v="9601"/>
    <n v="192"/>
    <n v="31"/>
    <n v="154411"/>
    <n v="-1.1214163322101729E-3"/>
    <n v="3.8780104970041453E-5"/>
    <n v="1.9997916883657954E-4"/>
    <n v="1.6145833333333333E-3"/>
    <n v="4981"/>
    <n v="18.114154775544215"/>
    <n v="905.80208333333337"/>
    <n v="-19503"/>
    <n v="5610.1290322580644"/>
    <x v="0"/>
    <s v="Tier 1"/>
    <x v="0"/>
  </r>
  <r>
    <n v="35"/>
    <s v="February"/>
    <s v="Thursday"/>
    <x v="3"/>
    <x v="1"/>
    <x v="0"/>
    <n v="348934"/>
    <n v="4597702"/>
    <n v="115389"/>
    <n v="13206"/>
    <n v="143"/>
    <n v="17"/>
    <n v="82909"/>
    <n v="-2.814826369931276E-3"/>
    <n v="2.8723044686236732E-5"/>
    <n v="1.0828411328184158E-4"/>
    <n v="1.1888111888111888E-3"/>
    <n v="4877"/>
    <n v="8.737619263970922"/>
    <n v="806.91608391608395"/>
    <n v="-32480"/>
    <n v="6787.588235294118"/>
    <x v="1"/>
    <s v="Tier 2"/>
    <x v="0"/>
  </r>
  <r>
    <n v="36"/>
    <s v="February"/>
    <s v="Thursday"/>
    <x v="3"/>
    <x v="2"/>
    <x v="1"/>
    <n v="89459845"/>
    <n v="196484"/>
    <n v="41269.599999999999"/>
    <n v="3599"/>
    <n v="55"/>
    <n v="9"/>
    <n v="68589"/>
    <n v="6.6197394692461284E-3"/>
    <n v="1.8317013090124386E-4"/>
    <n v="1.5282022784106697E-4"/>
    <n v="1.6363636363636363E-3"/>
    <n v="7621"/>
    <n v="11.466963045290358"/>
    <n v="750.35636363636365"/>
    <n v="27319.4"/>
    <n v="4585.5111111111109"/>
    <x v="1"/>
    <s v="Tier 2"/>
    <x v="0"/>
  </r>
  <r>
    <n v="37"/>
    <s v="February"/>
    <s v="Thursday"/>
    <x v="3"/>
    <x v="3"/>
    <x v="1"/>
    <n v="127823"/>
    <n v="1531679"/>
    <n v="60108.800000000003"/>
    <n v="9591"/>
    <n v="234"/>
    <n v="17"/>
    <n v="58990"/>
    <n v="-1.8612915247018789E-4"/>
    <n v="6.2617558901049113E-5"/>
    <n v="2.4397873005943072E-4"/>
    <n v="7.264957264957266E-4"/>
    <n v="3470"/>
    <n v="6.267208841622355"/>
    <n v="256.87521367521367"/>
    <n v="-1118.8000000000029"/>
    <n v="3535.8117647058825"/>
    <x v="1"/>
    <s v="Tier 2"/>
    <x v="0"/>
  </r>
  <r>
    <n v="38"/>
    <s v="February"/>
    <s v="Thursday"/>
    <x v="3"/>
    <x v="4"/>
    <x v="2"/>
    <n v="10934"/>
    <n v="2120555"/>
    <n v="185263"/>
    <n v="17993"/>
    <n v="445"/>
    <n v="89"/>
    <n v="624958"/>
    <n v="2.373355715928167E-2"/>
    <n v="8.4850428307683607E-5"/>
    <n v="2.4731840160062245E-4"/>
    <n v="2E-3"/>
    <n v="7022"/>
    <n v="10.296393041738455"/>
    <n v="416.32134831460672"/>
    <n v="439695"/>
    <n v="2081.6067415730336"/>
    <x v="1"/>
    <s v="Tier 2"/>
    <x v="0"/>
  </r>
  <r>
    <n v="39"/>
    <s v="February"/>
    <s v="Thursday"/>
    <x v="3"/>
    <x v="5"/>
    <x v="0"/>
    <n v="9034945"/>
    <n v="1322751"/>
    <n v="104028"/>
    <n v="10794"/>
    <n v="238"/>
    <n v="27"/>
    <n v="179037"/>
    <n v="7.2104625677702162E-3"/>
    <n v="8.1602659911049006E-5"/>
    <n v="2.2049286640726332E-4"/>
    <n v="1.134453781512605E-3"/>
    <n v="6631"/>
    <n v="9.6375764313507499"/>
    <n v="437.0924369747899"/>
    <n v="75009"/>
    <n v="3852.8888888888887"/>
    <x v="0"/>
    <s v="Tier 1"/>
    <x v="0"/>
  </r>
  <r>
    <n v="40"/>
    <s v="February"/>
    <s v="Thursday"/>
    <x v="3"/>
    <x v="6"/>
    <x v="0"/>
    <n v="983498"/>
    <n v="3008227"/>
    <n v="40119.199999999997"/>
    <n v="20392"/>
    <n v="408"/>
    <n v="12"/>
    <n v="23772"/>
    <n v="-4.0746575205886457E-3"/>
    <n v="6.7787437583666384E-5"/>
    <n v="2.0007846214201649E-4"/>
    <n v="2.941176470588235E-4"/>
    <n v="1981"/>
    <n v="1.9673989799921536"/>
    <n v="98.331372549019605"/>
    <n v="-16347.199999999997"/>
    <n v="3343.2666666666664"/>
    <x v="1"/>
    <s v="Tier 2"/>
    <x v="0"/>
  </r>
  <r>
    <n v="41"/>
    <s v="February"/>
    <s v="Thursday"/>
    <x v="3"/>
    <x v="7"/>
    <x v="0"/>
    <n v="4387490"/>
    <n v="43160"/>
    <n v="885.75"/>
    <n v="1194"/>
    <n v="4"/>
    <n v="1"/>
    <n v="5287"/>
    <n v="4.9689528648038384E-2"/>
    <n v="2.7664504170528268E-4"/>
    <n v="3.3500837520938026E-5"/>
    <n v="2.5000000000000001E-3"/>
    <n v="5287"/>
    <n v="0.74183417085427139"/>
    <n v="221.4375"/>
    <n v="4401.25"/>
    <n v="885.75"/>
    <x v="1"/>
    <s v="Tier 2"/>
    <x v="0"/>
  </r>
  <r>
    <n v="42"/>
    <s v="February"/>
    <s v="Thursday"/>
    <x v="3"/>
    <x v="8"/>
    <x v="0"/>
    <n v="544756"/>
    <n v="432611"/>
    <n v="120335"/>
    <n v="4807"/>
    <n v="71"/>
    <n v="13"/>
    <n v="6864"/>
    <n v="-9.4295923879170653E-3"/>
    <n v="1.1111599104044973E-4"/>
    <n v="1.4770126898273352E-4"/>
    <n v="1.8309859154929577E-3"/>
    <n v="528"/>
    <n v="25.033284793010193"/>
    <n v="1694.8591549295775"/>
    <n v="-113471"/>
    <n v="9256.538461538461"/>
    <x v="1"/>
    <s v="Tier 2"/>
    <x v="0"/>
  </r>
  <r>
    <n v="43"/>
    <s v="February"/>
    <s v="Thursday"/>
    <x v="3"/>
    <x v="9"/>
    <x v="2"/>
    <n v="374754"/>
    <n v="1199300"/>
    <n v="149279"/>
    <n v="11993"/>
    <n v="267"/>
    <n v="38"/>
    <n v="224542"/>
    <n v="5.0417674287743085E-3"/>
    <n v="1E-4"/>
    <n v="2.2262986742266322E-4"/>
    <n v="1.4232209737827714E-3"/>
    <n v="5909"/>
    <n v="12.447177520220128"/>
    <n v="559.09737827715355"/>
    <n v="75263"/>
    <n v="3928.3947368421054"/>
    <x v="1"/>
    <s v="Tier 2"/>
    <x v="0"/>
  </r>
  <r>
    <n v="44"/>
    <s v="February"/>
    <s v="Thursday"/>
    <x v="3"/>
    <x v="10"/>
    <x v="3"/>
    <n v="39889"/>
    <n v="41924802"/>
    <n v="177746"/>
    <n v="16806"/>
    <n v="336"/>
    <n v="60"/>
    <n v="204540"/>
    <n v="1.5074319534616812E-3"/>
    <n v="4.0086056935939728E-6"/>
    <n v="1.9992859692966795E-4"/>
    <n v="1.7857142857142857E-3"/>
    <n v="3409"/>
    <n v="10.576341782696655"/>
    <n v="529.00595238095241"/>
    <n v="26794"/>
    <n v="2962.4333333333334"/>
    <x v="1"/>
    <s v="Tier 2"/>
    <x v="0"/>
  </r>
  <r>
    <n v="45"/>
    <s v="February"/>
    <s v="Friday"/>
    <x v="4"/>
    <x v="0"/>
    <x v="0"/>
    <n v="349043"/>
    <n v="3462883"/>
    <n v="90691.7"/>
    <n v="11997"/>
    <n v="143"/>
    <n v="17"/>
    <n v="84677"/>
    <n v="-6.6320291713574647E-4"/>
    <n v="3.4644543289507616E-5"/>
    <n v="1.1919646578311245E-4"/>
    <n v="1.1888111888111888E-3"/>
    <n v="4981"/>
    <n v="7.5595315495540554"/>
    <n v="634.20769230769224"/>
    <n v="-6014.6999999999971"/>
    <n v="5334.8058823529409"/>
    <x v="0"/>
    <s v="Tier 1"/>
    <x v="0"/>
  </r>
  <r>
    <n v="46"/>
    <s v="February"/>
    <s v="Friday"/>
    <x v="4"/>
    <x v="1"/>
    <x v="0"/>
    <n v="348934"/>
    <n v="3299600"/>
    <n v="261047"/>
    <n v="16498"/>
    <n v="330"/>
    <n v="42"/>
    <n v="209202"/>
    <n v="-1.9860408278968922E-3"/>
    <n v="5.0000000000000002E-5"/>
    <n v="2.0002424536307429E-4"/>
    <n v="1.2727272727272726E-3"/>
    <n v="4981"/>
    <n v="15.822948236149836"/>
    <n v="791.0515151515151"/>
    <n v="-51845"/>
    <n v="6215.4047619047615"/>
    <x v="1"/>
    <s v="Tier 2"/>
    <x v="0"/>
  </r>
  <r>
    <n v="47"/>
    <s v="February"/>
    <s v="Friday"/>
    <x v="4"/>
    <x v="2"/>
    <x v="1"/>
    <n v="89459845"/>
    <n v="236719"/>
    <n v="96930.6"/>
    <n v="4504"/>
    <n v="151"/>
    <n v="23"/>
    <n v="177882"/>
    <n v="8.3514803374785656E-3"/>
    <n v="1.902677858558037E-4"/>
    <n v="3.3525754884547075E-4"/>
    <n v="1.5231788079470199E-3"/>
    <n v="7734"/>
    <n v="21.521003552397868"/>
    <n v="641.92450331125826"/>
    <n v="80951.399999999994"/>
    <n v="4214.3739130434788"/>
    <x v="1"/>
    <s v="Tier 2"/>
    <x v="0"/>
  </r>
  <r>
    <n v="48"/>
    <s v="February"/>
    <s v="Friday"/>
    <x v="4"/>
    <x v="3"/>
    <x v="1"/>
    <n v="127823"/>
    <n v="9914040"/>
    <n v="56875.199999999997"/>
    <n v="11993"/>
    <n v="139"/>
    <n v="14"/>
    <n v="49644"/>
    <n v="-1.271415309308802E-3"/>
    <n v="1.2096985688982495E-5"/>
    <n v="1.1590094221629283E-4"/>
    <n v="1.0071942446043165E-3"/>
    <n v="3546"/>
    <n v="4.7423663803885594"/>
    <n v="409.17410071942442"/>
    <n v="-7231.1999999999971"/>
    <n v="4062.5142857142855"/>
    <x v="1"/>
    <s v="Tier 2"/>
    <x v="0"/>
  </r>
  <r>
    <n v="49"/>
    <s v="February"/>
    <s v="Friday"/>
    <x v="4"/>
    <x v="4"/>
    <x v="2"/>
    <n v="10934"/>
    <n v="1965108"/>
    <n v="442617"/>
    <n v="22507"/>
    <n v="731"/>
    <n v="146"/>
    <n v="1165230"/>
    <n v="1.6325920604043677E-2"/>
    <n v="1.1453314525206757E-4"/>
    <n v="3.2478784378193451E-4"/>
    <n v="1.9972640218878248E-3"/>
    <n v="7981.0273972602736"/>
    <n v="19.665748433820589"/>
    <n v="605.49521203830375"/>
    <n v="722613"/>
    <n v="3031.6232876712329"/>
    <x v="1"/>
    <s v="Tier 2"/>
    <x v="0"/>
  </r>
  <r>
    <n v="50"/>
    <s v="February"/>
    <s v="Friday"/>
    <x v="4"/>
    <x v="5"/>
    <x v="0"/>
    <n v="9034945"/>
    <n v="7485780"/>
    <n v="258306"/>
    <n v="13498"/>
    <n v="526"/>
    <n v="76"/>
    <n v="454556"/>
    <n v="7.5975780663244371E-3"/>
    <n v="1.803152109733388E-5"/>
    <n v="3.8968736109053193E-4"/>
    <n v="1.4448669201520912E-3"/>
    <n v="5981"/>
    <n v="19.136612831530599"/>
    <n v="491.0760456273764"/>
    <n v="196250"/>
    <n v="3398.7631578947367"/>
    <x v="0"/>
    <s v="Tier 1"/>
    <x v="0"/>
  </r>
  <r>
    <n v="51"/>
    <s v="February"/>
    <s v="Friday"/>
    <x v="4"/>
    <x v="6"/>
    <x v="0"/>
    <n v="983498"/>
    <n v="5100600"/>
    <n v="13588.8"/>
    <n v="25503"/>
    <n v="765"/>
    <n v="4"/>
    <n v="7924"/>
    <n v="-4.1687271870952548E-3"/>
    <n v="5.0000000000000002E-5"/>
    <n v="2.9996471003411359E-4"/>
    <n v="5.2287581699346402E-5"/>
    <n v="1981"/>
    <n v="0.53283143159628277"/>
    <n v="17.763137254901959"/>
    <n v="-5664.7999999999993"/>
    <n v="3397.2"/>
    <x v="1"/>
    <s v="Tier 2"/>
    <x v="0"/>
  </r>
  <r>
    <n v="52"/>
    <s v="February"/>
    <s v="Friday"/>
    <x v="4"/>
    <x v="7"/>
    <x v="0"/>
    <n v="4387490"/>
    <n v="48954"/>
    <n v="6790.74"/>
    <n v="1505"/>
    <n v="30"/>
    <n v="5"/>
    <n v="27060"/>
    <n v="2.9848381766935564E-2"/>
    <n v="3.0743146627446174E-4"/>
    <n v="1.9933554817275746E-4"/>
    <n v="1.6666666666666666E-3"/>
    <n v="5412"/>
    <n v="4.5121196013289033"/>
    <n v="226.358"/>
    <n v="20269.260000000002"/>
    <n v="1358.1479999999999"/>
    <x v="1"/>
    <s v="Tier 2"/>
    <x v="0"/>
  </r>
  <r>
    <n v="53"/>
    <s v="February"/>
    <s v="Friday"/>
    <x v="4"/>
    <x v="8"/>
    <x v="0"/>
    <n v="544756"/>
    <n v="600400"/>
    <n v="192789"/>
    <n v="6004"/>
    <n v="120"/>
    <n v="21"/>
    <n v="9492"/>
    <n v="-9.5076482579400275E-3"/>
    <n v="1E-4"/>
    <n v="1.9986675549633578E-4"/>
    <n v="1.7499999999999998E-3"/>
    <n v="452"/>
    <n v="32.110093271152564"/>
    <n v="1606.575"/>
    <n v="-183297"/>
    <n v="9180.4285714285706"/>
    <x v="1"/>
    <s v="Tier 2"/>
    <x v="0"/>
  </r>
  <r>
    <n v="54"/>
    <s v="February"/>
    <s v="Friday"/>
    <x v="4"/>
    <x v="9"/>
    <x v="2"/>
    <n v="374754"/>
    <n v="2153303"/>
    <n v="36431.699999999997"/>
    <n v="15003"/>
    <n v="51"/>
    <n v="8"/>
    <n v="47816"/>
    <n v="3.1248335927228223E-3"/>
    <n v="6.9674356093870669E-5"/>
    <n v="3.3993201359728057E-5"/>
    <n v="1.5686274509803921E-3"/>
    <n v="5977"/>
    <n v="2.4282943411317737"/>
    <n v="714.34705882352932"/>
    <n v="11384.300000000003"/>
    <n v="4553.9624999999996"/>
    <x v="1"/>
    <s v="Tier 2"/>
    <x v="0"/>
  </r>
  <r>
    <n v="55"/>
    <s v="February"/>
    <s v="Friday"/>
    <x v="4"/>
    <x v="10"/>
    <x v="3"/>
    <n v="39889"/>
    <n v="8238872"/>
    <n v="427922"/>
    <n v="20997"/>
    <n v="796"/>
    <n v="119"/>
    <n v="471240"/>
    <n v="1.0122872860007198E-3"/>
    <n v="2.5485284878803799E-5"/>
    <n v="3.791017764442539E-4"/>
    <n v="1.4949748743718595E-3"/>
    <n v="3960"/>
    <n v="20.380149545173118"/>
    <n v="537.5904522613065"/>
    <n v="43318"/>
    <n v="3595.9831932773109"/>
    <x v="1"/>
    <s v="Tier 2"/>
    <x v="0"/>
  </r>
  <r>
    <n v="56"/>
    <s v="February"/>
    <s v="Saturday"/>
    <x v="5"/>
    <x v="0"/>
    <x v="0"/>
    <n v="349043"/>
    <n v="310024"/>
    <n v="40407.9"/>
    <n v="2391"/>
    <n v="76"/>
    <n v="9"/>
    <n v="46152"/>
    <n v="1.4215289584462441E-3"/>
    <n v="7.7123061440404617E-5"/>
    <n v="3.1785863655374322E-4"/>
    <n v="1.1842105263157893E-3"/>
    <n v="5128"/>
    <n v="16.900000000000002"/>
    <n v="531.68289473684217"/>
    <n v="5744.0999999999985"/>
    <n v="4489.7666666666664"/>
    <x v="0"/>
    <s v="Tier 1"/>
    <x v="1"/>
  </r>
  <r>
    <n v="57"/>
    <s v="February"/>
    <s v="Saturday"/>
    <x v="5"/>
    <x v="1"/>
    <x v="0"/>
    <n v="348934"/>
    <n v="448321"/>
    <n v="62272.6"/>
    <n v="3302"/>
    <n v="108"/>
    <n v="9"/>
    <n v="44829"/>
    <n v="-2.8011677688100384E-3"/>
    <n v="7.3652583751374569E-5"/>
    <n v="3.2707450030284679E-4"/>
    <n v="8.3333333333333328E-4"/>
    <n v="4981"/>
    <n v="18.859055118110234"/>
    <n v="576.59814814814808"/>
    <n v="-17443.599999999999"/>
    <n v="6919.1777777777779"/>
    <x v="1"/>
    <s v="Tier 2"/>
    <x v="1"/>
  </r>
  <r>
    <n v="58"/>
    <s v="February"/>
    <s v="Saturday"/>
    <x v="5"/>
    <x v="2"/>
    <x v="1"/>
    <n v="89459845"/>
    <n v="44950"/>
    <n v="6768.87"/>
    <n v="899"/>
    <n v="13"/>
    <n v="1"/>
    <n v="8136"/>
    <n v="2.0197315061450437E-3"/>
    <n v="2.0000000000000001E-4"/>
    <n v="1.4460511679644048E-4"/>
    <n v="7.6923076923076923E-4"/>
    <n v="8136"/>
    <n v="7.5293325917686316"/>
    <n v="520.68230769230763"/>
    <n v="1367.13"/>
    <n v="6768.87"/>
    <x v="1"/>
    <s v="Tier 2"/>
    <x v="1"/>
  </r>
  <r>
    <n v="59"/>
    <s v="February"/>
    <s v="Saturday"/>
    <x v="5"/>
    <x v="3"/>
    <x v="1"/>
    <n v="127823"/>
    <n v="478400"/>
    <n v="22542"/>
    <n v="2392"/>
    <n v="48"/>
    <n v="6"/>
    <n v="13152"/>
    <n v="-4.1655576257652385E-3"/>
    <n v="5.0000000000000002E-5"/>
    <n v="2.0066889632107025E-4"/>
    <n v="1.25E-3"/>
    <n v="2192"/>
    <n v="9.4239130434782616"/>
    <n v="469.625"/>
    <n v="-9390"/>
    <n v="3757"/>
    <x v="1"/>
    <s v="Tier 2"/>
    <x v="1"/>
  </r>
  <r>
    <n v="60"/>
    <s v="February"/>
    <s v="Saturday"/>
    <x v="5"/>
    <x v="4"/>
    <x v="2"/>
    <n v="10934"/>
    <n v="472252"/>
    <n v="80971.399999999994"/>
    <n v="4508"/>
    <n v="133"/>
    <n v="27"/>
    <n v="215487"/>
    <n v="1.6612729926863069E-2"/>
    <n v="9.5457509973488722E-5"/>
    <n v="2.9503105590062112E-4"/>
    <n v="2.0300751879699249E-3"/>
    <n v="7981"/>
    <n v="17.961712511091392"/>
    <n v="608.80751879699244"/>
    <n v="134515.6"/>
    <n v="2998.9407407407407"/>
    <x v="1"/>
    <s v="Tier 2"/>
    <x v="1"/>
  </r>
  <r>
    <n v="61"/>
    <s v="February"/>
    <s v="Saturday"/>
    <x v="5"/>
    <x v="5"/>
    <x v="0"/>
    <n v="9034945"/>
    <n v="425467"/>
    <n v="3661.53"/>
    <n v="2695"/>
    <n v="14"/>
    <n v="1"/>
    <n v="5958"/>
    <n v="6.2718863425944883E-3"/>
    <n v="6.3342162846942302E-5"/>
    <n v="5.1948051948051951E-5"/>
    <n v="7.1428571428571429E-4"/>
    <n v="5958"/>
    <n v="1.3586382189239332"/>
    <n v="261.53785714285715"/>
    <n v="2296.4699999999998"/>
    <n v="3661.53"/>
    <x v="0"/>
    <s v="Tier 1"/>
    <x v="1"/>
  </r>
  <r>
    <n v="62"/>
    <s v="February"/>
    <s v="Saturday"/>
    <x v="5"/>
    <x v="6"/>
    <x v="0"/>
    <n v="983498"/>
    <n v="1589341"/>
    <n v="12183.4"/>
    <n v="5092"/>
    <n v="102"/>
    <n v="5"/>
    <n v="12295"/>
    <n v="9.1600045964181074E-5"/>
    <n v="3.203843605620191E-5"/>
    <n v="2.0031421838177536E-4"/>
    <n v="4.9019607843137254E-4"/>
    <n v="2459"/>
    <n v="2.3926551453260014"/>
    <n v="119.44509803921568"/>
    <n v="111.60000000000036"/>
    <n v="2436.6799999999998"/>
    <x v="1"/>
    <s v="Tier 2"/>
    <x v="1"/>
  </r>
  <r>
    <n v="63"/>
    <s v="February"/>
    <s v="Saturday"/>
    <x v="5"/>
    <x v="7"/>
    <x v="0"/>
    <n v="4387490"/>
    <n v="10200"/>
    <n v="1420.15"/>
    <n v="306"/>
    <n v="6"/>
    <n v="1"/>
    <n v="5492"/>
    <n v="2.8671971270640424E-2"/>
    <n v="2.9999999999999997E-4"/>
    <n v="1.9607843137254901E-4"/>
    <n v="1.6666666666666666E-3"/>
    <n v="5492"/>
    <n v="4.6410130718954248"/>
    <n v="236.69166666666669"/>
    <n v="4071.85"/>
    <n v="1420.15"/>
    <x v="1"/>
    <s v="Tier 2"/>
    <x v="1"/>
  </r>
  <r>
    <n v="64"/>
    <s v="February"/>
    <s v="Saturday"/>
    <x v="5"/>
    <x v="8"/>
    <x v="0"/>
    <n v="544756"/>
    <n v="119700"/>
    <n v="29281"/>
    <n v="1197"/>
    <n v="24"/>
    <n v="4"/>
    <n v="6428"/>
    <n v="-7.8047197841603763E-3"/>
    <n v="1E-4"/>
    <n v="2.0050125313283206E-4"/>
    <n v="1.6666666666666666E-3"/>
    <n v="1607"/>
    <n v="24.461988304093566"/>
    <n v="1220.0416666666667"/>
    <n v="-22853"/>
    <n v="7320.25"/>
    <x v="1"/>
    <s v="Tier 2"/>
    <x v="1"/>
  </r>
  <r>
    <n v="65"/>
    <s v="February"/>
    <s v="Saturday"/>
    <x v="5"/>
    <x v="9"/>
    <x v="2"/>
    <n v="374754"/>
    <n v="300700"/>
    <n v="8289.2099999999991"/>
    <n v="3007"/>
    <n v="20"/>
    <n v="2"/>
    <n v="9450"/>
    <n v="1.4003626401068389E-3"/>
    <n v="1E-4"/>
    <n v="6.6511473229132029E-5"/>
    <n v="1E-3"/>
    <n v="4725"/>
    <n v="2.7566378450282669"/>
    <n v="414.46049999999997"/>
    <n v="1160.7900000000009"/>
    <n v="4144.6049999999996"/>
    <x v="1"/>
    <s v="Tier 2"/>
    <x v="1"/>
  </r>
  <r>
    <n v="66"/>
    <s v="February"/>
    <s v="Saturday"/>
    <x v="5"/>
    <x v="10"/>
    <x v="3"/>
    <n v="39889"/>
    <n v="42070000"/>
    <n v="38185.199999999997"/>
    <n v="4207"/>
    <n v="84"/>
    <n v="10"/>
    <n v="48820"/>
    <n v="2.7850580853314905E-3"/>
    <n v="9.9999999999999995E-7"/>
    <n v="1.9966722129783693E-4"/>
    <n v="1.1904761904761904E-3"/>
    <n v="4882"/>
    <n v="9.0765866413120975"/>
    <n v="454.58571428571423"/>
    <n v="10634.800000000003"/>
    <n v="3818.5199999999995"/>
    <x v="1"/>
    <s v="Tier 2"/>
    <x v="1"/>
  </r>
  <r>
    <n v="67"/>
    <s v="February"/>
    <s v="Sunday"/>
    <x v="6"/>
    <x v="0"/>
    <x v="0"/>
    <n v="349043"/>
    <n v="478000"/>
    <n v="27314.400000000001"/>
    <n v="2390"/>
    <n v="45"/>
    <n v="5"/>
    <n v="24905"/>
    <n v="-8.8209881967021104E-4"/>
    <n v="5.0000000000000002E-5"/>
    <n v="1.882845188284519E-4"/>
    <n v="1.1111111111111111E-3"/>
    <n v="4981"/>
    <n v="11.428619246861926"/>
    <n v="606.98666666666668"/>
    <n v="-2409.4000000000015"/>
    <n v="5462.88"/>
    <x v="0"/>
    <s v="Tier 1"/>
    <x v="1"/>
  </r>
  <r>
    <n v="68"/>
    <s v="February"/>
    <s v="Sunday"/>
    <x v="6"/>
    <x v="1"/>
    <x v="0"/>
    <n v="348934"/>
    <n v="659000"/>
    <n v="38485.599999999999"/>
    <n v="3295"/>
    <n v="66"/>
    <n v="5"/>
    <n v="23735"/>
    <n v="-3.8327582264535303E-3"/>
    <n v="5.0000000000000002E-5"/>
    <n v="2.0030349013657058E-4"/>
    <n v="7.5757575757575758E-4"/>
    <n v="4747"/>
    <n v="11.68"/>
    <n v="583.11515151515152"/>
    <n v="-14750.599999999999"/>
    <n v="7697.12"/>
    <x v="1"/>
    <s v="Tier 2"/>
    <x v="1"/>
  </r>
  <r>
    <n v="69"/>
    <s v="February"/>
    <s v="Sunday"/>
    <x v="6"/>
    <x v="2"/>
    <x v="1"/>
    <n v="89459845"/>
    <n v="44650"/>
    <n v="6426"/>
    <n v="893"/>
    <n v="18"/>
    <n v="2"/>
    <n v="14152"/>
    <n v="1.202303143479614E-2"/>
    <n v="2.0000000000000001E-4"/>
    <n v="2.0156774916013436E-4"/>
    <n v="1.1111111111111111E-3"/>
    <n v="7076"/>
    <n v="7.195968645016797"/>
    <n v="357"/>
    <n v="7726"/>
    <n v="3213"/>
    <x v="1"/>
    <s v="Tier 2"/>
    <x v="1"/>
  </r>
  <r>
    <n v="70"/>
    <s v="February"/>
    <s v="Sunday"/>
    <x v="6"/>
    <x v="3"/>
    <x v="1"/>
    <n v="127823"/>
    <n v="1137473"/>
    <n v="18102.099999999999"/>
    <n v="2404"/>
    <n v="48"/>
    <n v="5"/>
    <n v="17845"/>
    <n v="-1.4202772054070994E-4"/>
    <n v="2.1134567589736199E-5"/>
    <n v="1.9966722129783693E-4"/>
    <n v="1.0416666666666667E-3"/>
    <n v="3569"/>
    <n v="7.5299916805324454"/>
    <n v="377.1270833333333"/>
    <n v="-257.09999999999854"/>
    <n v="3620.4199999999996"/>
    <x v="1"/>
    <s v="Tier 2"/>
    <x v="1"/>
  </r>
  <r>
    <n v="71"/>
    <s v="February"/>
    <s v="Sunday"/>
    <x v="6"/>
    <x v="4"/>
    <x v="2"/>
    <n v="10934"/>
    <n v="694624"/>
    <n v="31680.1"/>
    <n v="4505"/>
    <n v="82"/>
    <n v="15"/>
    <n v="119715"/>
    <n v="2.7788706475042693E-2"/>
    <n v="6.4855231031464509E-5"/>
    <n v="1.8201997780244172E-4"/>
    <n v="1.8292682926829267E-3"/>
    <n v="7981"/>
    <n v="7.0322086570477245"/>
    <n v="386.34268292682924"/>
    <n v="88034.9"/>
    <n v="2112.0066666666667"/>
    <x v="1"/>
    <s v="Tier 2"/>
    <x v="1"/>
  </r>
  <r>
    <n v="72"/>
    <s v="February"/>
    <s v="Sunday"/>
    <x v="6"/>
    <x v="5"/>
    <x v="0"/>
    <n v="9034945"/>
    <n v="1246126"/>
    <n v="37965.9"/>
    <n v="2696"/>
    <n v="100"/>
    <n v="11"/>
    <n v="65791"/>
    <n v="7.3289715244469374E-3"/>
    <n v="2.1635051351147474E-5"/>
    <n v="3.7091988130563794E-4"/>
    <n v="1.1000000000000001E-3"/>
    <n v="5981"/>
    <n v="14.082307121661721"/>
    <n v="379.65899999999999"/>
    <n v="27825.1"/>
    <n v="3451.4454545454546"/>
    <x v="0"/>
    <s v="Tier 1"/>
    <x v="1"/>
  </r>
  <r>
    <n v="73"/>
    <s v="February"/>
    <s v="Sunday"/>
    <x v="6"/>
    <x v="6"/>
    <x v="0"/>
    <n v="983498"/>
    <n v="567096"/>
    <n v="6747.94"/>
    <n v="5103"/>
    <n v="199"/>
    <n v="2"/>
    <n v="3962"/>
    <n v="-4.1285784995124435E-3"/>
    <n v="8.9984764484320125E-5"/>
    <n v="3.8996668626298253E-4"/>
    <n v="1.0050251256281407E-4"/>
    <n v="1981"/>
    <n v="1.3223476386439348"/>
    <n v="33.909246231155777"/>
    <n v="-2785.9399999999996"/>
    <n v="3373.97"/>
    <x v="1"/>
    <s v="Tier 2"/>
    <x v="1"/>
  </r>
  <r>
    <n v="74"/>
    <s v="February"/>
    <s v="Sunday"/>
    <x v="6"/>
    <x v="7"/>
    <x v="0"/>
    <n v="4387490"/>
    <n v="9938"/>
    <n v="3435.44"/>
    <n v="294"/>
    <n v="6"/>
    <n v="1"/>
    <n v="4981"/>
    <n v="4.4988705959062006E-3"/>
    <n v="2.9583417186556651E-4"/>
    <n v="2.040816326530612E-4"/>
    <n v="1.6666666666666666E-3"/>
    <n v="4981"/>
    <n v="11.685170068027212"/>
    <n v="572.57333333333338"/>
    <n v="1545.56"/>
    <n v="3435.44"/>
    <x v="1"/>
    <s v="Tier 2"/>
    <x v="1"/>
  </r>
  <r>
    <n v="75"/>
    <s v="February"/>
    <s v="Sunday"/>
    <x v="6"/>
    <x v="8"/>
    <x v="0"/>
    <n v="544756"/>
    <n v="174221"/>
    <n v="10104.9"/>
    <n v="1197"/>
    <n v="6"/>
    <n v="1"/>
    <n v="981"/>
    <n v="-9.0291838612950141E-3"/>
    <n v="6.8705839135351076E-5"/>
    <n v="5.0125313283208015E-5"/>
    <n v="1.6666666666666666E-3"/>
    <n v="981"/>
    <n v="8.4418546365914793"/>
    <n v="1684.1499999999999"/>
    <n v="-9123.9"/>
    <n v="10104.9"/>
    <x v="1"/>
    <s v="Tier 2"/>
    <x v="1"/>
  </r>
  <r>
    <n v="76"/>
    <s v="February"/>
    <s v="Sunday"/>
    <x v="6"/>
    <x v="9"/>
    <x v="2"/>
    <n v="374754"/>
    <n v="300700"/>
    <n v="46167.6"/>
    <n v="3007"/>
    <n v="93"/>
    <n v="12"/>
    <n v="68076"/>
    <n v="4.7454058690510233E-3"/>
    <n v="1E-4"/>
    <n v="3.0927835051546395E-4"/>
    <n v="1.2903225806451613E-3"/>
    <n v="5673"/>
    <n v="15.353375457266377"/>
    <n v="496.42580645161291"/>
    <n v="21908.400000000001"/>
    <n v="3847.2999999999997"/>
    <x v="1"/>
    <s v="Tier 2"/>
    <x v="1"/>
  </r>
  <r>
    <n v="77"/>
    <s v="February"/>
    <s v="Sunday"/>
    <x v="6"/>
    <x v="10"/>
    <x v="3"/>
    <n v="39889"/>
    <n v="3957603"/>
    <n v="79987.7"/>
    <n v="4203"/>
    <n v="142"/>
    <n v="27"/>
    <n v="90504"/>
    <n v="1.3147396412198377E-3"/>
    <n v="1.0620064720993996E-5"/>
    <n v="3.3785391387104453E-4"/>
    <n v="1.9014084507042253E-3"/>
    <n v="3352"/>
    <n v="19.031096835593623"/>
    <n v="563.29366197183094"/>
    <n v="10516.300000000003"/>
    <n v="2962.5074074074073"/>
    <x v="1"/>
    <s v="Tier 2"/>
    <x v="1"/>
  </r>
  <r>
    <n v="78"/>
    <s v="February"/>
    <s v="Monday"/>
    <x v="7"/>
    <x v="0"/>
    <x v="0"/>
    <n v="349043"/>
    <n v="479000"/>
    <n v="27210.400000000001"/>
    <n v="2395"/>
    <n v="36"/>
    <n v="5"/>
    <n v="22345"/>
    <n v="-1.7880663275806313E-3"/>
    <n v="5.0000000000000002E-5"/>
    <n v="1.5031315240083507E-4"/>
    <n v="1.3888888888888889E-3"/>
    <n v="4469"/>
    <n v="11.36133611691023"/>
    <n v="755.84444444444443"/>
    <n v="-4865.4000000000015"/>
    <n v="5442.08"/>
    <x v="0"/>
    <s v="Tier 1"/>
    <x v="0"/>
  </r>
  <r>
    <n v="79"/>
    <s v="February"/>
    <s v="Monday"/>
    <x v="7"/>
    <x v="1"/>
    <x v="0"/>
    <n v="348934"/>
    <n v="472656"/>
    <n v="33752.800000000003"/>
    <n v="3290"/>
    <n v="66"/>
    <n v="5"/>
    <n v="28670"/>
    <n v="-1.5058898817283315E-3"/>
    <n v="6.9606648386987571E-5"/>
    <n v="2.0060790273556233E-4"/>
    <n v="7.5757575757575758E-4"/>
    <n v="5734"/>
    <n v="10.259209726443769"/>
    <n v="511.40606060606063"/>
    <n v="-5082.8000000000029"/>
    <n v="6750.56"/>
    <x v="1"/>
    <s v="Tier 2"/>
    <x v="0"/>
  </r>
  <r>
    <n v="80"/>
    <s v="February"/>
    <s v="Monday"/>
    <x v="7"/>
    <x v="2"/>
    <x v="1"/>
    <n v="89459845"/>
    <n v="51350"/>
    <n v="6918.85"/>
    <n v="904"/>
    <n v="20"/>
    <n v="2"/>
    <n v="16240"/>
    <n v="1.3472108804208792E-2"/>
    <n v="1.7604673807205452E-4"/>
    <n v="2.2123893805309734E-4"/>
    <n v="1E-3"/>
    <n v="8120"/>
    <n v="7.6535951327433631"/>
    <n v="345.9425"/>
    <n v="9321.15"/>
    <n v="3459.4250000000002"/>
    <x v="1"/>
    <s v="Tier 2"/>
    <x v="0"/>
  </r>
  <r>
    <n v="81"/>
    <s v="February"/>
    <s v="Monday"/>
    <x v="7"/>
    <x v="3"/>
    <x v="1"/>
    <n v="127823"/>
    <n v="478000"/>
    <n v="16567.5"/>
    <n v="2390"/>
    <n v="48"/>
    <n v="5"/>
    <n v="16995"/>
    <n v="2.5803531009506561E-4"/>
    <n v="5.0000000000000002E-5"/>
    <n v="2.0083682008368201E-4"/>
    <n v="1.0416666666666667E-3"/>
    <n v="3399"/>
    <n v="6.9320083682008367"/>
    <n v="345.15625"/>
    <n v="427.5"/>
    <n v="3313.5"/>
    <x v="1"/>
    <s v="Tier 2"/>
    <x v="0"/>
  </r>
  <r>
    <n v="82"/>
    <s v="February"/>
    <s v="Monday"/>
    <x v="7"/>
    <x v="4"/>
    <x v="2"/>
    <n v="10934"/>
    <n v="685530"/>
    <n v="33892.6"/>
    <n v="4491"/>
    <n v="79"/>
    <n v="16"/>
    <n v="120176"/>
    <n v="2.5457887562476765E-2"/>
    <n v="6.5511356176972563E-5"/>
    <n v="1.7590737029614785E-4"/>
    <n v="2.0253164556962027E-3"/>
    <n v="7511"/>
    <n v="7.5467824537964816"/>
    <n v="429.02025316455695"/>
    <n v="86283.4"/>
    <n v="2118.2874999999999"/>
    <x v="1"/>
    <s v="Tier 2"/>
    <x v="0"/>
  </r>
  <r>
    <n v="83"/>
    <s v="February"/>
    <s v="Monday"/>
    <x v="7"/>
    <x v="5"/>
    <x v="0"/>
    <n v="9034945"/>
    <n v="472836"/>
    <n v="330.76"/>
    <n v="2690"/>
    <n v="1"/>
    <n v="0"/>
    <n v="0"/>
    <n v="-0.01"/>
    <n v="5.6890761278752039E-5"/>
    <n v="3.7174721189591075E-6"/>
    <n v="0"/>
    <n v="0"/>
    <n v="0.12295910780669145"/>
    <n v="330.76"/>
    <n v="-330.76"/>
    <n v="0"/>
    <x v="0"/>
    <s v="Tier 1"/>
    <x v="0"/>
  </r>
  <r>
    <n v="84"/>
    <s v="February"/>
    <s v="Monday"/>
    <x v="7"/>
    <x v="6"/>
    <x v="0"/>
    <n v="983498"/>
    <n v="1020000"/>
    <n v="2057.3000000000002"/>
    <n v="5100"/>
    <n v="102"/>
    <n v="1"/>
    <n v="1981"/>
    <n v="-3.7087444709084811E-4"/>
    <n v="5.0000000000000002E-5"/>
    <n v="2.0000000000000001E-4"/>
    <n v="9.8039215686274506E-5"/>
    <n v="1981"/>
    <n v="0.40339215686274515"/>
    <n v="20.169607843137257"/>
    <n v="-76.300000000000182"/>
    <n v="2057.3000000000002"/>
    <x v="1"/>
    <s v="Tier 2"/>
    <x v="0"/>
  </r>
  <r>
    <n v="85"/>
    <s v="February"/>
    <s v="Monday"/>
    <x v="7"/>
    <x v="7"/>
    <x v="0"/>
    <n v="4387490"/>
    <n v="10067"/>
    <n v="4336.04"/>
    <n v="302"/>
    <n v="10"/>
    <n v="2"/>
    <n v="10036"/>
    <n v="1.3145542937795778E-2"/>
    <n v="2.9999006655408758E-4"/>
    <n v="3.3112582781456954E-4"/>
    <n v="2E-3"/>
    <n v="5018"/>
    <n v="14.357748344370862"/>
    <n v="433.60399999999998"/>
    <n v="5699.96"/>
    <n v="2168.02"/>
    <x v="1"/>
    <s v="Tier 2"/>
    <x v="0"/>
  </r>
  <r>
    <n v="86"/>
    <s v="February"/>
    <s v="Monday"/>
    <x v="7"/>
    <x v="8"/>
    <x v="0"/>
    <n v="544756"/>
    <n v="120200"/>
    <n v="40099"/>
    <n v="1202"/>
    <n v="24"/>
    <n v="5"/>
    <n v="4905"/>
    <n v="-8.7767774757475242E-3"/>
    <n v="1E-4"/>
    <n v="1.9966722129783693E-4"/>
    <n v="2.0833333333333333E-3"/>
    <n v="981"/>
    <n v="33.360232945091511"/>
    <n v="1670.7916666666667"/>
    <n v="-35194"/>
    <n v="8019.8"/>
    <x v="1"/>
    <s v="Tier 2"/>
    <x v="0"/>
  </r>
  <r>
    <n v="87"/>
    <s v="February"/>
    <s v="Monday"/>
    <x v="7"/>
    <x v="9"/>
    <x v="2"/>
    <n v="374754"/>
    <n v="361650"/>
    <n v="31154.3"/>
    <n v="2991"/>
    <n v="60"/>
    <n v="9"/>
    <n v="45027"/>
    <n v="4.4529005626831614E-3"/>
    <n v="8.2704272086271265E-5"/>
    <n v="2.0060180541624874E-4"/>
    <n v="1.5E-3"/>
    <n v="5003"/>
    <n v="10.416014710799063"/>
    <n v="519.23833333333334"/>
    <n v="13872.7"/>
    <n v="3461.588888888889"/>
    <x v="1"/>
    <s v="Tier 2"/>
    <x v="0"/>
  </r>
  <r>
    <n v="88"/>
    <s v="February"/>
    <s v="Monday"/>
    <x v="7"/>
    <x v="10"/>
    <x v="3"/>
    <n v="39889"/>
    <n v="2233790"/>
    <n v="31883.9"/>
    <n v="4197"/>
    <n v="84"/>
    <n v="10"/>
    <n v="42280"/>
    <n v="3.2606111548461759E-3"/>
    <n v="1.8788695445856593E-5"/>
    <n v="2.0014295925661188E-4"/>
    <n v="1.1904761904761904E-3"/>
    <n v="4228"/>
    <n v="7.5968310698117705"/>
    <n v="379.5702380952381"/>
    <n v="10396.099999999999"/>
    <n v="3188.3900000000003"/>
    <x v="1"/>
    <s v="Tier 2"/>
    <x v="0"/>
  </r>
  <r>
    <n v="89"/>
    <s v="February"/>
    <s v="Tuesday"/>
    <x v="8"/>
    <x v="0"/>
    <x v="0"/>
    <n v="349043"/>
    <n v="478600"/>
    <n v="49036.5"/>
    <n v="2393"/>
    <n v="68"/>
    <n v="9"/>
    <n v="42813"/>
    <n v="-1.269156648618886E-3"/>
    <n v="5.0000000000000002E-5"/>
    <n v="2.8416213957375676E-4"/>
    <n v="1.3235294117647058E-3"/>
    <n v="4757"/>
    <n v="20.491642290012535"/>
    <n v="721.125"/>
    <n v="-6223.5"/>
    <n v="5448.5"/>
    <x v="0"/>
    <s v="Tier 1"/>
    <x v="0"/>
  </r>
  <r>
    <n v="90"/>
    <s v="February"/>
    <s v="Tuesday"/>
    <x v="8"/>
    <x v="1"/>
    <x v="0"/>
    <n v="348934"/>
    <n v="555116"/>
    <n v="62119.4"/>
    <n v="3303"/>
    <n v="96"/>
    <n v="11"/>
    <n v="54791"/>
    <n v="-1.1797280720676634E-3"/>
    <n v="5.9501077252322037E-5"/>
    <n v="2.9064486830154406E-4"/>
    <n v="1.1458333333333333E-3"/>
    <n v="4981"/>
    <n v="18.806963366636392"/>
    <n v="647.07708333333335"/>
    <n v="-7328.4000000000015"/>
    <n v="5647.2181818181816"/>
    <x v="1"/>
    <s v="Tier 2"/>
    <x v="0"/>
  </r>
  <r>
    <n v="91"/>
    <s v="February"/>
    <s v="Tuesday"/>
    <x v="8"/>
    <x v="2"/>
    <x v="1"/>
    <n v="89459845"/>
    <n v="44900"/>
    <n v="3095.21"/>
    <n v="898"/>
    <n v="5"/>
    <n v="1"/>
    <n v="7998"/>
    <n v="1.583992685472068E-2"/>
    <n v="2.0000000000000001E-4"/>
    <n v="5.5679287305122496E-5"/>
    <n v="2E-3"/>
    <n v="7998"/>
    <n v="3.4467817371937639"/>
    <n v="619.04200000000003"/>
    <n v="4902.79"/>
    <n v="3095.21"/>
    <x v="1"/>
    <s v="Tier 2"/>
    <x v="0"/>
  </r>
  <r>
    <n v="92"/>
    <s v="February"/>
    <s v="Tuesday"/>
    <x v="8"/>
    <x v="3"/>
    <x v="1"/>
    <n v="127823"/>
    <n v="478600"/>
    <n v="20299.3"/>
    <n v="2393"/>
    <n v="48"/>
    <n v="5"/>
    <n v="14905"/>
    <n v="-2.6573822742656152E-3"/>
    <n v="5.0000000000000002E-5"/>
    <n v="2.0058503969912244E-4"/>
    <n v="1.0416666666666667E-3"/>
    <n v="2981"/>
    <n v="8.482783117425825"/>
    <n v="422.90208333333334"/>
    <n v="-5394.2999999999993"/>
    <n v="4059.8599999999997"/>
    <x v="1"/>
    <s v="Tier 2"/>
    <x v="0"/>
  </r>
  <r>
    <n v="93"/>
    <s v="February"/>
    <s v="Tuesday"/>
    <x v="8"/>
    <x v="4"/>
    <x v="2"/>
    <n v="10934"/>
    <n v="491821"/>
    <n v="27833"/>
    <n v="4495"/>
    <n v="90"/>
    <n v="18"/>
    <n v="143658"/>
    <n v="4.1614270829590773E-2"/>
    <n v="9.1395040065389647E-5"/>
    <n v="2.0022246941045607E-4"/>
    <n v="2E-3"/>
    <n v="7981"/>
    <n v="6.1919911012235813"/>
    <n v="309.25555555555553"/>
    <n v="115825"/>
    <n v="1546.2777777777778"/>
    <x v="1"/>
    <s v="Tier 2"/>
    <x v="0"/>
  </r>
  <r>
    <n v="94"/>
    <s v="February"/>
    <s v="Tuesday"/>
    <x v="8"/>
    <x v="5"/>
    <x v="0"/>
    <n v="9034945"/>
    <n v="759532"/>
    <n v="10317"/>
    <n v="2701"/>
    <n v="19"/>
    <n v="3"/>
    <n v="19800"/>
    <n v="9.1916254725210814E-3"/>
    <n v="3.5561372002759598E-5"/>
    <n v="7.0344316919659382E-5"/>
    <n v="1.5789473684210526E-3"/>
    <n v="6600"/>
    <n v="3.8196964087375047"/>
    <n v="543"/>
    <n v="9483"/>
    <n v="3439"/>
    <x v="0"/>
    <s v="Tier 1"/>
    <x v="0"/>
  </r>
  <r>
    <n v="95"/>
    <s v="February"/>
    <s v="Tuesday"/>
    <x v="8"/>
    <x v="6"/>
    <x v="0"/>
    <n v="983498"/>
    <n v="1022000"/>
    <n v="7398.26"/>
    <n v="5110"/>
    <n v="102"/>
    <n v="3"/>
    <n v="5943"/>
    <n v="-1.9670300854525255E-3"/>
    <n v="5.0000000000000002E-5"/>
    <n v="1.9960861056751467E-4"/>
    <n v="2.941176470588235E-4"/>
    <n v="1981"/>
    <n v="1.4478003913894326"/>
    <n v="72.531960784313725"/>
    <n v="-1455.2600000000002"/>
    <n v="2466.0866666666666"/>
    <x v="1"/>
    <s v="Tier 2"/>
    <x v="0"/>
  </r>
  <r>
    <n v="96"/>
    <s v="February"/>
    <s v="Tuesday"/>
    <x v="8"/>
    <x v="7"/>
    <x v="0"/>
    <n v="4387490"/>
    <n v="9721"/>
    <n v="2152.37"/>
    <n v="290"/>
    <n v="6"/>
    <n v="1"/>
    <n v="4353"/>
    <n v="1.0224217955091366E-2"/>
    <n v="2.9832321777594899E-4"/>
    <n v="2.0689655172413793E-4"/>
    <n v="1.6666666666666666E-3"/>
    <n v="4353"/>
    <n v="7.4219655172413788"/>
    <n v="358.7283333333333"/>
    <n v="2200.63"/>
    <n v="2152.37"/>
    <x v="1"/>
    <s v="Tier 2"/>
    <x v="0"/>
  </r>
  <r>
    <n v="97"/>
    <s v="February"/>
    <s v="Tuesday"/>
    <x v="8"/>
    <x v="8"/>
    <x v="0"/>
    <n v="544756"/>
    <n v="189854"/>
    <n v="29091.4"/>
    <n v="1198"/>
    <n v="24"/>
    <n v="3"/>
    <n v="2943"/>
    <n v="-8.9883608214111396E-3"/>
    <n v="6.3101119807852351E-5"/>
    <n v="2.0033388981636059E-4"/>
    <n v="1.25E-3"/>
    <n v="981"/>
    <n v="24.283305509181972"/>
    <n v="1212.1416666666667"/>
    <n v="-26148.400000000001"/>
    <n v="9697.1333333333332"/>
    <x v="1"/>
    <s v="Tier 2"/>
    <x v="0"/>
  </r>
  <r>
    <n v="98"/>
    <s v="February"/>
    <s v="Tuesday"/>
    <x v="8"/>
    <x v="9"/>
    <x v="2"/>
    <n v="374754"/>
    <n v="346068"/>
    <n v="57642.400000000001"/>
    <n v="3006"/>
    <n v="99"/>
    <n v="15"/>
    <n v="89460"/>
    <n v="5.5198256838715938E-3"/>
    <n v="8.6861541662332264E-5"/>
    <n v="3.2934131736526951E-4"/>
    <n v="1.5151515151515152E-3"/>
    <n v="5964"/>
    <n v="19.175781769793748"/>
    <n v="582.24646464646469"/>
    <n v="31817.599999999999"/>
    <n v="3842.8266666666668"/>
    <x v="1"/>
    <s v="Tier 2"/>
    <x v="0"/>
  </r>
  <r>
    <n v="99"/>
    <s v="February"/>
    <s v="Tuesday"/>
    <x v="8"/>
    <x v="10"/>
    <x v="3"/>
    <n v="39889"/>
    <n v="3736884"/>
    <n v="44731.7"/>
    <n v="4190"/>
    <n v="84"/>
    <n v="13"/>
    <n v="51259"/>
    <n v="1.4592112528698895E-3"/>
    <n v="1.1212550349435519E-5"/>
    <n v="2.0047732696897375E-4"/>
    <n v="1.5476190476190477E-3"/>
    <n v="3943"/>
    <n v="10.675823389021479"/>
    <n v="532.52023809523803"/>
    <n v="6527.3000000000029"/>
    <n v="3440.8999999999996"/>
    <x v="1"/>
    <s v="Tier 2"/>
    <x v="0"/>
  </r>
  <r>
    <n v="100"/>
    <s v="February"/>
    <s v="Wednesday"/>
    <x v="9"/>
    <x v="0"/>
    <x v="0"/>
    <n v="349043"/>
    <n v="961800"/>
    <n v="43386.400000000001"/>
    <n v="4809"/>
    <n v="96"/>
    <n v="8"/>
    <n v="42400"/>
    <n v="-2.2735235004517576E-4"/>
    <n v="5.0000000000000002E-5"/>
    <n v="1.9962570180910791E-4"/>
    <n v="8.3333333333333328E-4"/>
    <n v="5300"/>
    <n v="9.0219172385111257"/>
    <n v="451.94166666666666"/>
    <n v="-986.40000000000146"/>
    <n v="5423.3"/>
    <x v="0"/>
    <s v="Tier 1"/>
    <x v="0"/>
  </r>
  <r>
    <n v="101"/>
    <s v="February"/>
    <s v="Wednesday"/>
    <x v="9"/>
    <x v="1"/>
    <x v="0"/>
    <n v="348934"/>
    <n v="852250"/>
    <n v="43865.9"/>
    <n v="6596"/>
    <n v="132"/>
    <n v="7"/>
    <n v="34867"/>
    <n v="-2.0514568263731055E-3"/>
    <n v="7.7395130536814322E-5"/>
    <n v="2.0012128562765311E-4"/>
    <n v="5.3030303030303036E-4"/>
    <n v="4981"/>
    <n v="6.6503790175864159"/>
    <n v="332.31742424242424"/>
    <n v="-8998.9000000000015"/>
    <n v="6266.5571428571429"/>
    <x v="1"/>
    <s v="Tier 2"/>
    <x v="0"/>
  </r>
  <r>
    <n v="102"/>
    <s v="February"/>
    <s v="Wednesday"/>
    <x v="9"/>
    <x v="2"/>
    <x v="1"/>
    <n v="89459845"/>
    <n v="108748"/>
    <n v="51883.1"/>
    <n v="1797"/>
    <n v="57"/>
    <n v="11"/>
    <n v="86724"/>
    <n v="6.715269519361796E-3"/>
    <n v="1.6524441828815243E-4"/>
    <n v="3.1719532554257092E-4"/>
    <n v="1.9298245614035087E-3"/>
    <n v="7884"/>
    <n v="28.872064552031162"/>
    <n v="910.22982456140346"/>
    <n v="34840.9"/>
    <n v="4716.6454545454544"/>
    <x v="1"/>
    <s v="Tier 2"/>
    <x v="0"/>
  </r>
  <r>
    <n v="103"/>
    <s v="February"/>
    <s v="Wednesday"/>
    <x v="9"/>
    <x v="3"/>
    <x v="1"/>
    <n v="127823"/>
    <n v="797238"/>
    <n v="67577.8"/>
    <n v="4797"/>
    <n v="154"/>
    <n v="19"/>
    <n v="42598"/>
    <n v="-3.6964506095196947E-3"/>
    <n v="6.0170237745817433E-5"/>
    <n v="3.2103397957056494E-4"/>
    <n v="1.2337662337662337E-3"/>
    <n v="2242"/>
    <n v="14.087513028976444"/>
    <n v="438.81688311688316"/>
    <n v="-24979.800000000003"/>
    <n v="3556.726315789474"/>
    <x v="1"/>
    <s v="Tier 2"/>
    <x v="0"/>
  </r>
  <r>
    <n v="104"/>
    <s v="February"/>
    <s v="Wednesday"/>
    <x v="9"/>
    <x v="4"/>
    <x v="2"/>
    <n v="10934"/>
    <n v="1469962"/>
    <n v="19831.400000000001"/>
    <n v="8998"/>
    <n v="80"/>
    <n v="16"/>
    <n v="130768"/>
    <n v="5.593987313049003E-2"/>
    <n v="6.1212466716826694E-5"/>
    <n v="8.8908646365859067E-5"/>
    <n v="2E-3"/>
    <n v="8173"/>
    <n v="2.2039786619248725"/>
    <n v="247.89250000000001"/>
    <n v="110936.6"/>
    <n v="1239.4625000000001"/>
    <x v="1"/>
    <s v="Tier 2"/>
    <x v="0"/>
  </r>
  <r>
    <n v="105"/>
    <s v="February"/>
    <s v="Wednesday"/>
    <x v="9"/>
    <x v="5"/>
    <x v="0"/>
    <n v="9034945"/>
    <n v="3858193"/>
    <n v="38890.300000000003"/>
    <n v="5406"/>
    <n v="186"/>
    <n v="14"/>
    <n v="83734"/>
    <n v="1.1530818738862903E-2"/>
    <n v="1.4011740729403636E-5"/>
    <n v="3.440621531631521E-4"/>
    <n v="7.5268817204301075E-4"/>
    <n v="5981"/>
    <n v="7.1939141694413618"/>
    <n v="209.08763440860216"/>
    <n v="44843.7"/>
    <n v="2777.8785714285718"/>
    <x v="0"/>
    <s v="Tier 1"/>
    <x v="0"/>
  </r>
  <r>
    <n v="106"/>
    <s v="February"/>
    <s v="Wednesday"/>
    <x v="9"/>
    <x v="6"/>
    <x v="0"/>
    <n v="983498"/>
    <n v="2040000"/>
    <n v="14147.9"/>
    <n v="10200"/>
    <n v="395"/>
    <n v="4"/>
    <n v="7924"/>
    <n v="-4.3991687812325502E-3"/>
    <n v="5.0000000000000002E-5"/>
    <n v="3.8725490196078434E-4"/>
    <n v="1.0126582278481013E-4"/>
    <n v="1981"/>
    <n v="1.3870490196078431"/>
    <n v="35.817468354430382"/>
    <n v="-6223.9"/>
    <n v="3536.9749999999999"/>
    <x v="1"/>
    <s v="Tier 2"/>
    <x v="0"/>
  </r>
  <r>
    <n v="107"/>
    <s v="February"/>
    <s v="Wednesday"/>
    <x v="9"/>
    <x v="7"/>
    <x v="0"/>
    <n v="4387490"/>
    <n v="18399"/>
    <n v="12713"/>
    <n v="599"/>
    <n v="22"/>
    <n v="5"/>
    <n v="27065"/>
    <n v="1.1289231495319751E-2"/>
    <n v="3.2556117180281534E-4"/>
    <n v="3.6727879799666112E-4"/>
    <n v="2.2727272727272726E-3"/>
    <n v="5413"/>
    <n v="21.223706176961603"/>
    <n v="577.86363636363637"/>
    <n v="14352"/>
    <n v="2542.6"/>
    <x v="1"/>
    <s v="Tier 2"/>
    <x v="0"/>
  </r>
  <r>
    <n v="108"/>
    <s v="February"/>
    <s v="Wednesday"/>
    <x v="9"/>
    <x v="8"/>
    <x v="0"/>
    <n v="544756"/>
    <n v="321713"/>
    <n v="131236"/>
    <n v="2396"/>
    <n v="88"/>
    <n v="15"/>
    <n v="14715"/>
    <n v="-8.8787375415282383E-3"/>
    <n v="7.4476318955093507E-5"/>
    <n v="3.6727879799666112E-4"/>
    <n v="1.7045454545454545E-3"/>
    <n v="981"/>
    <n v="54.772954924874789"/>
    <n v="1491.3181818181818"/>
    <n v="-116521"/>
    <n v="8749.0666666666675"/>
    <x v="1"/>
    <s v="Tier 2"/>
    <x v="0"/>
  </r>
  <r>
    <n v="109"/>
    <s v="February"/>
    <s v="Wednesday"/>
    <x v="9"/>
    <x v="9"/>
    <x v="2"/>
    <n v="374754"/>
    <n v="489728"/>
    <n v="126901"/>
    <n v="6005"/>
    <n v="187"/>
    <n v="34"/>
    <n v="143888"/>
    <n v="1.3386025326829576E-3"/>
    <n v="1.2261908651332984E-4"/>
    <n v="3.1140716069941713E-4"/>
    <n v="1.8181818181818182E-3"/>
    <n v="4232"/>
    <n v="21.132556203164029"/>
    <n v="678.61497326203209"/>
    <n v="16987"/>
    <n v="3732.3823529411766"/>
    <x v="1"/>
    <s v="Tier 2"/>
    <x v="0"/>
  </r>
  <r>
    <n v="110"/>
    <s v="February"/>
    <s v="Wednesday"/>
    <x v="9"/>
    <x v="10"/>
    <x v="3"/>
    <n v="39889"/>
    <n v="5219501"/>
    <n v="179519"/>
    <n v="8391"/>
    <n v="302"/>
    <n v="60"/>
    <n v="196680"/>
    <n v="9.55943382037556E-4"/>
    <n v="1.6076249434572386E-5"/>
    <n v="3.5990942676677394E-4"/>
    <n v="1.9867549668874172E-3"/>
    <n v="3278"/>
    <n v="21.394231915147181"/>
    <n v="594.43377483443703"/>
    <n v="17161"/>
    <n v="2991.9833333333331"/>
    <x v="1"/>
    <s v="Tier 2"/>
    <x v="0"/>
  </r>
  <r>
    <n v="111"/>
    <s v="February"/>
    <s v="Thursday"/>
    <x v="10"/>
    <x v="0"/>
    <x v="0"/>
    <n v="349043"/>
    <n v="1061233"/>
    <n v="105681"/>
    <n v="7206"/>
    <n v="144"/>
    <n v="23"/>
    <n v="105225"/>
    <n v="-4.3148721151389555E-5"/>
    <n v="6.7902147784699491E-5"/>
    <n v="1.9983347210657785E-4"/>
    <n v="1.5972222222222221E-3"/>
    <n v="4575"/>
    <n v="14.665695253955038"/>
    <n v="733.89583333333337"/>
    <n v="-456"/>
    <n v="4594.826086956522"/>
    <x v="0"/>
    <s v="Tier 1"/>
    <x v="0"/>
  </r>
  <r>
    <n v="112"/>
    <s v="February"/>
    <s v="Thursday"/>
    <x v="10"/>
    <x v="1"/>
    <x v="0"/>
    <n v="348934"/>
    <n v="4564542"/>
    <n v="188516"/>
    <n v="9895"/>
    <n v="304"/>
    <n v="28"/>
    <n v="131068"/>
    <n v="-3.0473805936896605E-3"/>
    <n v="2.1677969005433621E-5"/>
    <n v="3.0722587165234969E-4"/>
    <n v="9.2105263157894735E-4"/>
    <n v="4681"/>
    <n v="19.051642243557353"/>
    <n v="620.11842105263156"/>
    <n v="-57448"/>
    <n v="6732.7142857142853"/>
    <x v="1"/>
    <s v="Tier 2"/>
    <x v="0"/>
  </r>
  <r>
    <n v="113"/>
    <s v="February"/>
    <s v="Thursday"/>
    <x v="10"/>
    <x v="2"/>
    <x v="1"/>
    <n v="89459845"/>
    <n v="134600"/>
    <n v="26220.400000000001"/>
    <n v="2692"/>
    <n v="54"/>
    <n v="6"/>
    <n v="48990"/>
    <n v="8.6839254931274871E-3"/>
    <n v="2.0000000000000001E-4"/>
    <n v="2.0059435364041606E-4"/>
    <n v="1.1111111111111111E-3"/>
    <n v="8165"/>
    <n v="9.7401188707280841"/>
    <n v="485.56296296296301"/>
    <n v="22769.599999999999"/>
    <n v="4370.0666666666666"/>
    <x v="1"/>
    <s v="Tier 2"/>
    <x v="0"/>
  </r>
  <r>
    <n v="114"/>
    <s v="February"/>
    <s v="Thursday"/>
    <x v="10"/>
    <x v="3"/>
    <x v="1"/>
    <n v="127823"/>
    <n v="1254537"/>
    <n v="51422.5"/>
    <n v="7198"/>
    <n v="144"/>
    <n v="14"/>
    <n v="41986"/>
    <n v="-1.8350916427633819E-3"/>
    <n v="5.7375748981496756E-5"/>
    <n v="2.0005557099194219E-4"/>
    <n v="9.7222222222222219E-4"/>
    <n v="2999"/>
    <n v="7.1439983328702414"/>
    <n v="357.10069444444446"/>
    <n v="-9436.5"/>
    <n v="3673.0357142857142"/>
    <x v="1"/>
    <s v="Tier 2"/>
    <x v="0"/>
  </r>
  <r>
    <n v="115"/>
    <s v="February"/>
    <s v="Thursday"/>
    <x v="10"/>
    <x v="4"/>
    <x v="2"/>
    <n v="10934"/>
    <n v="1210466"/>
    <n v="197161"/>
    <n v="13506"/>
    <n v="474"/>
    <n v="95"/>
    <n v="831820"/>
    <n v="3.2189885423587826E-2"/>
    <n v="1.1157686378634344E-4"/>
    <n v="3.5095513105286541E-4"/>
    <n v="2.0042194092827004E-3"/>
    <n v="8756"/>
    <n v="14.598030504960759"/>
    <n v="415.95147679324896"/>
    <n v="634659"/>
    <n v="2075.378947368421"/>
    <x v="1"/>
    <s v="Tier 2"/>
    <x v="0"/>
  </r>
  <r>
    <n v="116"/>
    <s v="February"/>
    <s v="Thursday"/>
    <x v="10"/>
    <x v="5"/>
    <x v="0"/>
    <n v="9034945"/>
    <n v="2224531"/>
    <n v="348.99"/>
    <n v="8106"/>
    <n v="1"/>
    <n v="0"/>
    <n v="0"/>
    <n v="-0.01"/>
    <n v="3.6439141553882597E-5"/>
    <n v="1.2336540833950161E-6"/>
    <n v="0"/>
    <n v="0"/>
    <n v="4.3053293856402663E-2"/>
    <n v="348.99"/>
    <n v="-348.99"/>
    <n v="0"/>
    <x v="0"/>
    <s v="Tier 1"/>
    <x v="0"/>
  </r>
  <r>
    <n v="117"/>
    <s v="February"/>
    <s v="Thursday"/>
    <x v="10"/>
    <x v="6"/>
    <x v="0"/>
    <n v="983498"/>
    <n v="3058200"/>
    <n v="4138.7299999999996"/>
    <n v="15291"/>
    <n v="114"/>
    <n v="1"/>
    <n v="2771"/>
    <n v="-3.3047094156903197E-3"/>
    <n v="5.0000000000000002E-5"/>
    <n v="7.4553659015106933E-5"/>
    <n v="8.7719298245614029E-5"/>
    <n v="2771"/>
    <n v="0.27066444313648547"/>
    <n v="36.304649122807014"/>
    <n v="-1367.7299999999996"/>
    <n v="4138.7299999999996"/>
    <x v="1"/>
    <s v="Tier 2"/>
    <x v="0"/>
  </r>
  <r>
    <n v="118"/>
    <s v="February"/>
    <s v="Thursday"/>
    <x v="10"/>
    <x v="7"/>
    <x v="0"/>
    <n v="4387490"/>
    <n v="26774"/>
    <n v="17711.099999999999"/>
    <n v="893"/>
    <n v="27"/>
    <n v="6"/>
    <n v="29886"/>
    <n v="6.8741636600775802E-3"/>
    <n v="3.3353253156046913E-4"/>
    <n v="3.023516237402016E-4"/>
    <n v="2.2222222222222222E-3"/>
    <n v="4981"/>
    <n v="19.833258678611422"/>
    <n v="655.96666666666658"/>
    <n v="12174.900000000001"/>
    <n v="2951.85"/>
    <x v="1"/>
    <s v="Tier 2"/>
    <x v="0"/>
  </r>
  <r>
    <n v="119"/>
    <s v="February"/>
    <s v="Thursday"/>
    <x v="10"/>
    <x v="8"/>
    <x v="0"/>
    <n v="544756"/>
    <n v="359500"/>
    <n v="6171.15"/>
    <n v="3595"/>
    <n v="5"/>
    <n v="1"/>
    <n v="677"/>
    <n v="-8.9029597400808597E-3"/>
    <n v="1E-4"/>
    <n v="1.3908205841446452E-5"/>
    <n v="2E-3"/>
    <n v="677"/>
    <n v="1.7165924895688456"/>
    <n v="1234.23"/>
    <n v="-5494.15"/>
    <n v="6171.15"/>
    <x v="1"/>
    <s v="Tier 2"/>
    <x v="0"/>
  </r>
  <r>
    <n v="120"/>
    <s v="February"/>
    <s v="Thursday"/>
    <x v="10"/>
    <x v="9"/>
    <x v="2"/>
    <n v="374754"/>
    <n v="900400"/>
    <n v="128751"/>
    <n v="9004"/>
    <n v="227"/>
    <n v="29"/>
    <n v="143869"/>
    <n v="1.1742044721982743E-3"/>
    <n v="1E-4"/>
    <n v="2.521101732563305E-4"/>
    <n v="1.2775330396475771E-3"/>
    <n v="4961"/>
    <n v="14.299311417147933"/>
    <n v="567.18502202643174"/>
    <n v="15118"/>
    <n v="4439.6896551724139"/>
    <x v="1"/>
    <s v="Tier 2"/>
    <x v="0"/>
  </r>
  <r>
    <n v="121"/>
    <s v="February"/>
    <s v="Thursday"/>
    <x v="10"/>
    <x v="10"/>
    <x v="3"/>
    <n v="39889"/>
    <n v="5125187"/>
    <n v="193124"/>
    <n v="12602"/>
    <n v="482"/>
    <n v="57"/>
    <n v="226917"/>
    <n v="1.7498084132474474E-3"/>
    <n v="2.4588371116995339E-5"/>
    <n v="3.8247897159181081E-4"/>
    <n v="1.1825726141078837E-3"/>
    <n v="3981"/>
    <n v="15.32486906840184"/>
    <n v="400.67219917012449"/>
    <n v="33793"/>
    <n v="3388.1403508771928"/>
    <x v="1"/>
    <s v="Tier 2"/>
    <x v="0"/>
  </r>
  <r>
    <n v="122"/>
    <s v="February"/>
    <s v="Friday"/>
    <x v="11"/>
    <x v="0"/>
    <x v="0"/>
    <n v="349043"/>
    <n v="1804868"/>
    <n v="110004"/>
    <n v="9607"/>
    <n v="192"/>
    <n v="23"/>
    <n v="96163"/>
    <n v="-1.2582269735645975E-3"/>
    <n v="5.3228269324958947E-5"/>
    <n v="1.9985427292599147E-4"/>
    <n v="1.1979166666666668E-3"/>
    <n v="4181"/>
    <n v="11.450400749453523"/>
    <n v="572.9375"/>
    <n v="-13841"/>
    <n v="4782.782608695652"/>
    <x v="0"/>
    <s v="Tier 1"/>
    <x v="0"/>
  </r>
  <r>
    <n v="123"/>
    <s v="February"/>
    <s v="Friday"/>
    <x v="11"/>
    <x v="1"/>
    <x v="0"/>
    <n v="348934"/>
    <n v="2639200"/>
    <n v="191722"/>
    <n v="13196"/>
    <n v="325"/>
    <n v="32"/>
    <n v="176512"/>
    <n v="-7.9333618468407376E-4"/>
    <n v="5.0000000000000002E-5"/>
    <n v="2.4628675356168535E-4"/>
    <n v="9.8461538461538456E-4"/>
    <n v="5516"/>
    <n v="14.528796605031827"/>
    <n v="589.91384615384618"/>
    <n v="-15210"/>
    <n v="5991.3125"/>
    <x v="1"/>
    <s v="Tier 2"/>
    <x v="0"/>
  </r>
  <r>
    <n v="124"/>
    <s v="February"/>
    <s v="Friday"/>
    <x v="11"/>
    <x v="2"/>
    <x v="1"/>
    <n v="89459845"/>
    <n v="161493"/>
    <n v="59745.3"/>
    <n v="3602"/>
    <n v="72"/>
    <n v="14"/>
    <n v="122710"/>
    <n v="1.0538854102331061E-2"/>
    <n v="2.230437232573548E-4"/>
    <n v="1.9988895058300942E-4"/>
    <n v="1.9444444444444444E-3"/>
    <n v="8765"/>
    <n v="16.586701832315381"/>
    <n v="829.79583333333335"/>
    <n v="62964.7"/>
    <n v="4267.5214285714292"/>
    <x v="1"/>
    <s v="Tier 2"/>
    <x v="0"/>
  </r>
  <r>
    <n v="125"/>
    <s v="February"/>
    <s v="Friday"/>
    <x v="11"/>
    <x v="3"/>
    <x v="1"/>
    <n v="127823"/>
    <n v="1502383"/>
    <n v="86733.1"/>
    <n v="9605"/>
    <n v="192"/>
    <n v="19"/>
    <n v="56639"/>
    <n v="-3.4697364673924951E-3"/>
    <n v="6.39317670660544E-5"/>
    <n v="1.9989588755856325E-4"/>
    <n v="9.895833333333332E-4"/>
    <n v="2981"/>
    <n v="9.0299947943779291"/>
    <n v="451.73489583333338"/>
    <n v="-30094.100000000006"/>
    <n v="4564.9000000000005"/>
    <x v="1"/>
    <s v="Tier 2"/>
    <x v="0"/>
  </r>
  <r>
    <n v="126"/>
    <s v="February"/>
    <s v="Friday"/>
    <x v="11"/>
    <x v="4"/>
    <x v="2"/>
    <n v="10934"/>
    <n v="1299708"/>
    <n v="121652"/>
    <n v="17994"/>
    <n v="378"/>
    <n v="61"/>
    <n v="486841"/>
    <n v="3.0019152993785551E-2"/>
    <n v="1.3844648182514841E-4"/>
    <n v="2.1007002334111371E-4"/>
    <n v="1.6137566137566137E-3"/>
    <n v="7981"/>
    <n v="6.7606980104479275"/>
    <n v="321.83068783068785"/>
    <n v="365189"/>
    <n v="1994.295081967213"/>
    <x v="1"/>
    <s v="Tier 2"/>
    <x v="0"/>
  </r>
  <r>
    <n v="127"/>
    <s v="February"/>
    <s v="Friday"/>
    <x v="11"/>
    <x v="5"/>
    <x v="0"/>
    <n v="9034945"/>
    <n v="3735390"/>
    <n v="26659.9"/>
    <n v="10806"/>
    <n v="115"/>
    <n v="9"/>
    <n v="53523"/>
    <n v="1.007621934065769E-2"/>
    <n v="2.8928706239509126E-5"/>
    <n v="1.0642235794928743E-4"/>
    <n v="7.8260869565217395E-4"/>
    <n v="5947"/>
    <n v="2.4671386266888766"/>
    <n v="231.82521739130436"/>
    <n v="26863.1"/>
    <n v="2962.2111111111112"/>
    <x v="0"/>
    <s v="Tier 1"/>
    <x v="0"/>
  </r>
  <r>
    <n v="128"/>
    <s v="February"/>
    <s v="Friday"/>
    <x v="11"/>
    <x v="6"/>
    <x v="0"/>
    <n v="983498"/>
    <n v="7156880"/>
    <n v="49060.3"/>
    <n v="20391"/>
    <n v="408"/>
    <n v="15"/>
    <n v="29715"/>
    <n v="-3.9431678974649574E-3"/>
    <n v="2.8491465554822773E-5"/>
    <n v="2.0008827423863469E-4"/>
    <n v="3.6764705882352941E-4"/>
    <n v="1981"/>
    <n v="2.4059781276053163"/>
    <n v="120.24583333333334"/>
    <n v="-19345.300000000003"/>
    <n v="3270.686666666667"/>
    <x v="1"/>
    <s v="Tier 2"/>
    <x v="0"/>
  </r>
  <r>
    <n v="129"/>
    <s v="February"/>
    <s v="Friday"/>
    <x v="11"/>
    <x v="7"/>
    <x v="0"/>
    <n v="4387490"/>
    <n v="42587"/>
    <n v="11278.3"/>
    <n v="1207"/>
    <n v="34"/>
    <n v="8"/>
    <n v="39848"/>
    <n v="2.5331565927489072E-2"/>
    <n v="2.8341982295066571E-4"/>
    <n v="2.8169014084507044E-4"/>
    <n v="2.352941176470588E-3"/>
    <n v="4981"/>
    <n v="9.3440762220381099"/>
    <n v="331.71470588235292"/>
    <n v="28569.7"/>
    <n v="1409.7874999999999"/>
    <x v="1"/>
    <s v="Tier 2"/>
    <x v="0"/>
  </r>
  <r>
    <n v="130"/>
    <s v="February"/>
    <s v="Friday"/>
    <x v="11"/>
    <x v="8"/>
    <x v="0"/>
    <n v="544756"/>
    <n v="480000"/>
    <n v="44580.9"/>
    <n v="4800"/>
    <n v="33"/>
    <n v="5"/>
    <n v="6945"/>
    <n v="-8.4421579645094641E-3"/>
    <n v="1E-4"/>
    <n v="6.8750000000000004E-5"/>
    <n v="1.5151515151515152E-3"/>
    <n v="1389"/>
    <n v="9.2876875000000005"/>
    <n v="1350.9363636363637"/>
    <n v="-37635.9"/>
    <n v="8916.18"/>
    <x v="1"/>
    <s v="Tier 2"/>
    <x v="0"/>
  </r>
  <r>
    <n v="131"/>
    <s v="February"/>
    <s v="Friday"/>
    <x v="11"/>
    <x v="9"/>
    <x v="2"/>
    <n v="374754"/>
    <n v="1200300"/>
    <n v="308572"/>
    <n v="12003"/>
    <n v="412"/>
    <n v="79"/>
    <n v="393499"/>
    <n v="2.7522587921133481E-3"/>
    <n v="1E-4"/>
    <n v="3.4324752145297008E-4"/>
    <n v="1.9174757281553397E-3"/>
    <n v="4981"/>
    <n v="25.707906356744147"/>
    <n v="748.96116504854365"/>
    <n v="84927"/>
    <n v="3905.9746835443038"/>
    <x v="1"/>
    <s v="Tier 2"/>
    <x v="0"/>
  </r>
  <r>
    <n v="132"/>
    <s v="February"/>
    <s v="Friday"/>
    <x v="11"/>
    <x v="10"/>
    <x v="3"/>
    <n v="39889"/>
    <n v="10819771"/>
    <n v="145201"/>
    <n v="16808"/>
    <n v="336"/>
    <n v="49"/>
    <n v="195069"/>
    <n v="3.434411608735477E-3"/>
    <n v="1.5534524714062802E-5"/>
    <n v="1.9990480723465015E-4"/>
    <n v="1.4583333333333334E-3"/>
    <n v="3981"/>
    <n v="8.6388029509757267"/>
    <n v="432.14583333333331"/>
    <n v="49868"/>
    <n v="2963.2857142857142"/>
    <x v="1"/>
    <s v="Tier 2"/>
    <x v="0"/>
  </r>
  <r>
    <n v="133"/>
    <s v="February"/>
    <s v="Saturday"/>
    <x v="12"/>
    <x v="0"/>
    <x v="0"/>
    <n v="349043"/>
    <n v="1496322"/>
    <n v="308692"/>
    <n v="11990"/>
    <n v="397"/>
    <n v="60"/>
    <n v="341880"/>
    <n v="1.0751169450455471E-3"/>
    <n v="8.012981163145366E-5"/>
    <n v="3.311092577147623E-4"/>
    <n v="1.5113350125944586E-3"/>
    <n v="5698"/>
    <n v="25.745788156797332"/>
    <n v="777.56171284634763"/>
    <n v="33188"/>
    <n v="5144.8666666666668"/>
    <x v="0"/>
    <s v="Tier 1"/>
    <x v="1"/>
  </r>
  <r>
    <n v="134"/>
    <s v="February"/>
    <s v="Saturday"/>
    <x v="12"/>
    <x v="1"/>
    <x v="0"/>
    <n v="348934"/>
    <n v="2358224"/>
    <n v="325444"/>
    <n v="16506"/>
    <n v="655"/>
    <n v="52"/>
    <n v="262184"/>
    <n v="-1.9438060004178905E-3"/>
    <n v="6.9993350928495348E-5"/>
    <n v="3.9682539682539683E-4"/>
    <n v="7.938931297709924E-4"/>
    <n v="5042"/>
    <n v="19.716709075487703"/>
    <n v="496.86106870229008"/>
    <n v="-63260"/>
    <n v="6258.5384615384619"/>
    <x v="1"/>
    <s v="Tier 2"/>
    <x v="1"/>
  </r>
  <r>
    <n v="135"/>
    <s v="February"/>
    <s v="Saturday"/>
    <x v="12"/>
    <x v="2"/>
    <x v="1"/>
    <n v="89459845"/>
    <n v="225350"/>
    <n v="61588.1"/>
    <n v="4507"/>
    <n v="100"/>
    <n v="17"/>
    <n v="152660"/>
    <n v="1.4787255979645418E-2"/>
    <n v="2.0000000000000001E-4"/>
    <n v="2.218770800976259E-4"/>
    <n v="1.7000000000000001E-3"/>
    <n v="8980"/>
    <n v="13.664987796760593"/>
    <n v="615.88099999999997"/>
    <n v="91071.9"/>
    <n v="3622.8294117647056"/>
    <x v="1"/>
    <s v="Tier 2"/>
    <x v="1"/>
  </r>
  <r>
    <n v="136"/>
    <s v="February"/>
    <s v="Saturday"/>
    <x v="12"/>
    <x v="3"/>
    <x v="1"/>
    <n v="127823"/>
    <n v="3452027"/>
    <n v="216562"/>
    <n v="12010"/>
    <n v="378"/>
    <n v="56"/>
    <n v="123088"/>
    <n v="-4.3162697056732015E-3"/>
    <n v="3.4791153139879846E-5"/>
    <n v="3.1473771856786015E-4"/>
    <n v="1.4814814814814814E-3"/>
    <n v="2198"/>
    <n v="18.031806827643631"/>
    <n v="572.9153439153439"/>
    <n v="-93474"/>
    <n v="3867.1785714285716"/>
    <x v="1"/>
    <s v="Tier 2"/>
    <x v="1"/>
  </r>
  <r>
    <n v="137"/>
    <s v="February"/>
    <s v="Saturday"/>
    <x v="12"/>
    <x v="4"/>
    <x v="2"/>
    <n v="10934"/>
    <n v="2250900"/>
    <n v="205045"/>
    <n v="22509"/>
    <n v="790"/>
    <n v="158"/>
    <n v="1296550"/>
    <n v="5.3232461167060888E-2"/>
    <n v="1E-4"/>
    <n v="3.5097072282198232E-4"/>
    <n v="2E-3"/>
    <n v="8206.0126582278481"/>
    <n v="9.1094673241814377"/>
    <n v="259.55063291139243"/>
    <n v="1091505"/>
    <n v="1297.753164556962"/>
    <x v="1"/>
    <s v="Tier 2"/>
    <x v="1"/>
  </r>
  <r>
    <n v="138"/>
    <s v="February"/>
    <s v="Saturday"/>
    <x v="12"/>
    <x v="5"/>
    <x v="0"/>
    <n v="9034945"/>
    <n v="2698200"/>
    <n v="88844.800000000003"/>
    <n v="13491"/>
    <n v="219"/>
    <n v="26"/>
    <n v="176384"/>
    <n v="9.8530471113672385E-3"/>
    <n v="5.0000000000000002E-5"/>
    <n v="1.6233044251723371E-4"/>
    <n v="1.1872146118721461E-3"/>
    <n v="6784"/>
    <n v="6.5854866207101033"/>
    <n v="405.68401826484018"/>
    <n v="87539.199999999997"/>
    <n v="3417.1076923076926"/>
    <x v="0"/>
    <s v="Tier 1"/>
    <x v="1"/>
  </r>
  <r>
    <n v="139"/>
    <s v="February"/>
    <s v="Saturday"/>
    <x v="12"/>
    <x v="6"/>
    <x v="0"/>
    <n v="983498"/>
    <n v="5100600"/>
    <n v="16656.8"/>
    <n v="25503"/>
    <n v="510"/>
    <n v="6"/>
    <n v="10134"/>
    <n v="-3.9159982709764179E-3"/>
    <n v="5.0000000000000002E-5"/>
    <n v="1.9997647335607576E-4"/>
    <n v="1.1764705882352942E-4"/>
    <n v="1689"/>
    <n v="0.65313100419558479"/>
    <n v="32.660392156862741"/>
    <n v="-6522.7999999999993"/>
    <n v="2776.1333333333332"/>
    <x v="1"/>
    <s v="Tier 2"/>
    <x v="1"/>
  </r>
  <r>
    <n v="140"/>
    <s v="February"/>
    <s v="Saturday"/>
    <x v="12"/>
    <x v="7"/>
    <x v="0"/>
    <n v="4387490"/>
    <n v="50333"/>
    <n v="8367.08"/>
    <n v="1510"/>
    <n v="19"/>
    <n v="4"/>
    <n v="18828"/>
    <n v="1.2502473981365064E-2"/>
    <n v="3.0000198676812429E-4"/>
    <n v="1.2582781456953643E-4"/>
    <n v="2.1052631578947368E-3"/>
    <n v="4707"/>
    <n v="5.5411125827814569"/>
    <n v="440.37263157894739"/>
    <n v="10460.92"/>
    <n v="2091.77"/>
    <x v="1"/>
    <s v="Tier 2"/>
    <x v="1"/>
  </r>
  <r>
    <n v="141"/>
    <s v="February"/>
    <s v="Saturday"/>
    <x v="12"/>
    <x v="8"/>
    <x v="0"/>
    <n v="544756"/>
    <n v="495013"/>
    <n v="171332"/>
    <n v="6006"/>
    <n v="128"/>
    <n v="19"/>
    <n v="24035"/>
    <n v="-8.5971680713468595E-3"/>
    <n v="1.2133014688503131E-4"/>
    <n v="2.1312021312021312E-4"/>
    <n v="1.484375E-3"/>
    <n v="1265"/>
    <n v="28.526806526806528"/>
    <n v="1338.53125"/>
    <n v="-147297"/>
    <n v="9017.4736842105267"/>
    <x v="1"/>
    <s v="Tier 2"/>
    <x v="1"/>
  </r>
  <r>
    <n v="142"/>
    <s v="February"/>
    <s v="Saturday"/>
    <x v="12"/>
    <x v="9"/>
    <x v="2"/>
    <n v="374754"/>
    <n v="1499200"/>
    <n v="32770.1"/>
    <n v="14992"/>
    <n v="50"/>
    <n v="8"/>
    <n v="43976"/>
    <n v="3.4195501386935045E-3"/>
    <n v="1E-4"/>
    <n v="3.3351120597652083E-5"/>
    <n v="1.6000000000000001E-3"/>
    <n v="5497"/>
    <n v="2.1858391141942368"/>
    <n v="655.40199999999993"/>
    <n v="11205.900000000001"/>
    <n v="4096.2624999999998"/>
    <x v="1"/>
    <s v="Tier 2"/>
    <x v="1"/>
  </r>
  <r>
    <n v="143"/>
    <s v="February"/>
    <s v="Saturday"/>
    <x v="12"/>
    <x v="10"/>
    <x v="3"/>
    <n v="39889"/>
    <n v="17890507"/>
    <n v="390105"/>
    <n v="20993"/>
    <n v="734"/>
    <n v="118"/>
    <n v="353174"/>
    <n v="-9.4669383883826152E-4"/>
    <n v="1.173415599680881E-5"/>
    <n v="3.4964035630924596E-4"/>
    <n v="1.6076294277929154E-3"/>
    <n v="2993"/>
    <n v="18.58262277902158"/>
    <n v="531.47820163487734"/>
    <n v="-36931"/>
    <n v="3305.9745762711864"/>
    <x v="1"/>
    <s v="Tier 2"/>
    <x v="1"/>
  </r>
  <r>
    <n v="144"/>
    <s v="February"/>
    <s v="Sunday"/>
    <x v="13"/>
    <x v="0"/>
    <x v="0"/>
    <n v="349043"/>
    <n v="2452315"/>
    <n v="60244.9"/>
    <n v="14406"/>
    <n v="110"/>
    <n v="14"/>
    <n v="63560"/>
    <n v="5.5027064531603482E-4"/>
    <n v="5.8744492448971689E-5"/>
    <n v="7.6357073441621546E-5"/>
    <n v="1.2727272727272726E-3"/>
    <n v="4540"/>
    <n v="4.1819311398028605"/>
    <n v="547.68090909090915"/>
    <n v="3315.0999999999985"/>
    <n v="4303.2071428571426"/>
    <x v="0"/>
    <s v="Tier 1"/>
    <x v="1"/>
  </r>
  <r>
    <n v="145"/>
    <s v="February"/>
    <s v="Sunday"/>
    <x v="13"/>
    <x v="1"/>
    <x v="0"/>
    <n v="348934"/>
    <n v="7936534"/>
    <n v="197948"/>
    <n v="19797"/>
    <n v="396"/>
    <n v="30"/>
    <n v="149430"/>
    <n v="-2.4510477499141191E-3"/>
    <n v="2.4944138083450531E-5"/>
    <n v="2.0003030762236703E-4"/>
    <n v="7.5757575757575758E-4"/>
    <n v="4981"/>
    <n v="9.9988887205132091"/>
    <n v="499.86868686868689"/>
    <n v="-48518"/>
    <n v="6598.2666666666664"/>
    <x v="1"/>
    <s v="Tier 2"/>
    <x v="1"/>
  </r>
  <r>
    <n v="146"/>
    <s v="February"/>
    <s v="Sunday"/>
    <x v="13"/>
    <x v="2"/>
    <x v="1"/>
    <n v="89459845"/>
    <n v="263754"/>
    <n v="56440.3"/>
    <n v="5409"/>
    <n v="90"/>
    <n v="11"/>
    <n v="84183"/>
    <n v="4.9154061902576696E-3"/>
    <n v="2.0507745854091313E-4"/>
    <n v="1.6638935108153079E-4"/>
    <n v="1.2222222222222222E-3"/>
    <n v="7653"/>
    <n v="10.43451654649658"/>
    <n v="627.11444444444453"/>
    <n v="27742.699999999997"/>
    <n v="5130.9363636363641"/>
    <x v="1"/>
    <s v="Tier 2"/>
    <x v="1"/>
  </r>
  <r>
    <n v="147"/>
    <s v="February"/>
    <s v="Sunday"/>
    <x v="13"/>
    <x v="3"/>
    <x v="1"/>
    <n v="127823"/>
    <n v="3111389"/>
    <n v="196998"/>
    <n v="14390"/>
    <n v="498"/>
    <n v="48"/>
    <n v="101280"/>
    <n v="-4.8588310541223768E-3"/>
    <n v="4.6249440362487622E-5"/>
    <n v="3.4607366226546211E-4"/>
    <n v="9.6385542168674705E-4"/>
    <n v="2110"/>
    <n v="13.689923558026408"/>
    <n v="395.57831325301203"/>
    <n v="-95718"/>
    <n v="4104.125"/>
    <x v="1"/>
    <s v="Tier 2"/>
    <x v="1"/>
  </r>
  <r>
    <n v="148"/>
    <s v="February"/>
    <s v="Sunday"/>
    <x v="13"/>
    <x v="4"/>
    <x v="2"/>
    <n v="10934"/>
    <n v="2511956"/>
    <n v="231751"/>
    <n v="26993"/>
    <n v="540"/>
    <n v="85"/>
    <n v="733550"/>
    <n v="2.1652506353802142E-2"/>
    <n v="1.0745809241881627E-4"/>
    <n v="2.0005186529841072E-4"/>
    <n v="1.5740740740740741E-3"/>
    <n v="8630"/>
    <n v="8.5855962656985145"/>
    <n v="429.16851851851851"/>
    <n v="501799"/>
    <n v="2726.4823529411765"/>
    <x v="1"/>
    <s v="Tier 2"/>
    <x v="1"/>
  </r>
  <r>
    <n v="149"/>
    <s v="February"/>
    <s v="Sunday"/>
    <x v="13"/>
    <x v="5"/>
    <x v="0"/>
    <n v="9034945"/>
    <n v="3239400"/>
    <n v="312844"/>
    <n v="16197"/>
    <n v="604"/>
    <n v="72"/>
    <n v="377352"/>
    <n v="2.0619861656288757E-3"/>
    <n v="5.0000000000000002E-5"/>
    <n v="3.7290856331419398E-4"/>
    <n v="1.1920529801324503E-3"/>
    <n v="5241"/>
    <n v="19.314934864481078"/>
    <n v="517.95364238410593"/>
    <n v="64508"/>
    <n v="4345.0555555555557"/>
    <x v="0"/>
    <s v="Tier 1"/>
    <x v="1"/>
  </r>
  <r>
    <n v="150"/>
    <s v="February"/>
    <s v="Sunday"/>
    <x v="13"/>
    <x v="6"/>
    <x v="0"/>
    <n v="983498"/>
    <n v="5130500"/>
    <n v="218228"/>
    <n v="30602"/>
    <n v="935"/>
    <n v="54"/>
    <n v="119718"/>
    <n v="-4.5140861850908225E-3"/>
    <n v="5.9647207874476171E-5"/>
    <n v="3.0553558590941767E-4"/>
    <n v="5.7754010695187171E-4"/>
    <n v="2217"/>
    <n v="7.1311678975230377"/>
    <n v="233.39893048128343"/>
    <n v="-98510"/>
    <n v="4041.2592592592591"/>
    <x v="1"/>
    <s v="Tier 2"/>
    <x v="1"/>
  </r>
  <r>
    <n v="151"/>
    <s v="February"/>
    <s v="Sunday"/>
    <x v="13"/>
    <x v="7"/>
    <x v="0"/>
    <n v="4387490"/>
    <n v="55495"/>
    <n v="4764.34"/>
    <n v="1790"/>
    <n v="10"/>
    <n v="2"/>
    <n v="10902"/>
    <n v="1.2882497890578756E-2"/>
    <n v="3.2255158122353363E-4"/>
    <n v="5.5865921787709498E-5"/>
    <n v="2E-3"/>
    <n v="5451"/>
    <n v="2.6616424581005589"/>
    <n v="476.43400000000003"/>
    <n v="6137.66"/>
    <n v="2382.17"/>
    <x v="1"/>
    <s v="Tier 2"/>
    <x v="1"/>
  </r>
  <r>
    <n v="152"/>
    <s v="February"/>
    <s v="Sunday"/>
    <x v="13"/>
    <x v="8"/>
    <x v="0"/>
    <n v="544756"/>
    <n v="605220"/>
    <n v="170719"/>
    <n v="7205"/>
    <n v="142"/>
    <n v="21"/>
    <n v="14280"/>
    <n v="-9.1635377433091809E-3"/>
    <n v="1.1904761904761905E-4"/>
    <n v="1.9708535739070088E-4"/>
    <n v="1.4788732394366197E-3"/>
    <n v="680"/>
    <n v="23.694517696044414"/>
    <n v="1202.2464788732395"/>
    <n v="-156439"/>
    <n v="8129.4761904761908"/>
    <x v="1"/>
    <s v="Tier 2"/>
    <x v="1"/>
  </r>
  <r>
    <n v="153"/>
    <s v="February"/>
    <s v="Sunday"/>
    <x v="13"/>
    <x v="9"/>
    <x v="2"/>
    <n v="374754"/>
    <n v="2429465"/>
    <n v="205870"/>
    <n v="17998"/>
    <n v="354"/>
    <n v="53"/>
    <n v="306817"/>
    <n v="4.9034342060523635E-3"/>
    <n v="7.4082153889848171E-5"/>
    <n v="1.9668852094677187E-4"/>
    <n v="1.497175141242938E-3"/>
    <n v="5789"/>
    <n v="11.438493165907323"/>
    <n v="581.55367231638422"/>
    <n v="100947"/>
    <n v="3884.3396226415093"/>
    <x v="1"/>
    <s v="Tier 2"/>
    <x v="1"/>
  </r>
  <r>
    <n v="154"/>
    <s v="February"/>
    <s v="Sunday"/>
    <x v="13"/>
    <x v="10"/>
    <x v="3"/>
    <n v="39889"/>
    <n v="7218480"/>
    <n v="225274"/>
    <n v="25190"/>
    <n v="504"/>
    <n v="76"/>
    <n v="236056"/>
    <n v="4.7861715066985097E-4"/>
    <n v="3.4896543316598505E-5"/>
    <n v="2.0007939658594681E-4"/>
    <n v="1.5079365079365078E-3"/>
    <n v="3106"/>
    <n v="8.9429932512901953"/>
    <n v="446.97222222222223"/>
    <n v="10782"/>
    <n v="2964.1315789473683"/>
    <x v="1"/>
    <s v="Tier 2"/>
    <x v="1"/>
  </r>
  <r>
    <n v="155"/>
    <s v="February"/>
    <s v="Monday"/>
    <x v="14"/>
    <x v="0"/>
    <x v="0"/>
    <n v="349043"/>
    <n v="3361800"/>
    <n v="168064"/>
    <n v="16809"/>
    <n v="247"/>
    <n v="30"/>
    <n v="149430"/>
    <n v="-1.1087442878903275E-3"/>
    <n v="5.0000000000000002E-5"/>
    <n v="1.4694508894044856E-4"/>
    <n v="1.2145748987854249E-3"/>
    <n v="4981"/>
    <n v="9.9984532095901013"/>
    <n v="680.42105263157896"/>
    <n v="-18634"/>
    <n v="5602.1333333333332"/>
    <x v="0"/>
    <s v="Tier 1"/>
    <x v="0"/>
  </r>
  <r>
    <n v="156"/>
    <s v="February"/>
    <s v="Monday"/>
    <x v="14"/>
    <x v="1"/>
    <x v="0"/>
    <n v="348934"/>
    <n v="3441545"/>
    <n v="593576"/>
    <n v="23103"/>
    <n v="694"/>
    <n v="81"/>
    <n v="403461"/>
    <n v="-3.2028754531854388E-3"/>
    <n v="6.7129733884054981E-5"/>
    <n v="3.0039388823962257E-4"/>
    <n v="1.1671469740634005E-3"/>
    <n v="4981"/>
    <n v="25.692594035406657"/>
    <n v="855.29682997118152"/>
    <n v="-190115"/>
    <n v="7328.0987654320988"/>
    <x v="1"/>
    <s v="Tier 2"/>
    <x v="0"/>
  </r>
  <r>
    <n v="157"/>
    <s v="February"/>
    <s v="Monday"/>
    <x v="14"/>
    <x v="2"/>
    <x v="1"/>
    <n v="89459845"/>
    <n v="315350"/>
    <n v="82930.7"/>
    <n v="6307"/>
    <n v="126"/>
    <n v="19"/>
    <n v="138073"/>
    <n v="6.6492022857638977E-3"/>
    <n v="2.0000000000000001E-4"/>
    <n v="1.997780244173141E-4"/>
    <n v="1.5079365079365078E-3"/>
    <n v="7267"/>
    <n v="13.148993182178531"/>
    <n v="658.18015873015872"/>
    <n v="55142.3"/>
    <n v="4364.773684210526"/>
    <x v="1"/>
    <s v="Tier 2"/>
    <x v="0"/>
  </r>
  <r>
    <n v="158"/>
    <s v="February"/>
    <s v="Monday"/>
    <x v="14"/>
    <x v="3"/>
    <x v="1"/>
    <n v="127823"/>
    <n v="3359600"/>
    <n v="124854"/>
    <n v="16798"/>
    <n v="336"/>
    <n v="31"/>
    <n v="92411"/>
    <n v="-2.5984750188219842E-3"/>
    <n v="5.0000000000000002E-5"/>
    <n v="2.0002381235861413E-4"/>
    <n v="9.2261904761904766E-4"/>
    <n v="2981"/>
    <n v="7.4326705560185733"/>
    <n v="371.58928571428572"/>
    <n v="-32443"/>
    <n v="4027.5483870967741"/>
    <x v="1"/>
    <s v="Tier 2"/>
    <x v="0"/>
  </r>
  <r>
    <n v="159"/>
    <s v="February"/>
    <s v="Monday"/>
    <x v="14"/>
    <x v="4"/>
    <x v="2"/>
    <n v="10934"/>
    <n v="2478877"/>
    <n v="151480"/>
    <n v="31504"/>
    <n v="630"/>
    <n v="98"/>
    <n v="782138"/>
    <n v="4.1633086876155273E-2"/>
    <n v="1.2708980719898567E-4"/>
    <n v="1.9997460639918741E-4"/>
    <n v="1.5555555555555557E-3"/>
    <n v="7981"/>
    <n v="4.8082783138649061"/>
    <n v="240.44444444444446"/>
    <n v="630658"/>
    <n v="1545.7142857142858"/>
    <x v="1"/>
    <s v="Tier 2"/>
    <x v="0"/>
  </r>
  <r>
    <n v="160"/>
    <s v="February"/>
    <s v="Monday"/>
    <x v="14"/>
    <x v="5"/>
    <x v="0"/>
    <n v="9034945"/>
    <n v="3780200"/>
    <n v="136269"/>
    <n v="18901"/>
    <n v="378"/>
    <n v="45"/>
    <n v="269145"/>
    <n v="9.7510071989961034E-3"/>
    <n v="5.0000000000000002E-5"/>
    <n v="1.9998941854928312E-4"/>
    <n v="1.1904761904761904E-3"/>
    <n v="5981"/>
    <n v="7.2096185387016556"/>
    <n v="360.5"/>
    <n v="132876"/>
    <n v="3028.2"/>
    <x v="0"/>
    <s v="Tier 1"/>
    <x v="0"/>
  </r>
  <r>
    <n v="161"/>
    <s v="February"/>
    <s v="Monday"/>
    <x v="14"/>
    <x v="6"/>
    <x v="0"/>
    <n v="983498"/>
    <n v="7138400"/>
    <n v="37098.6"/>
    <n v="35692"/>
    <n v="916"/>
    <n v="11"/>
    <n v="21791"/>
    <n v="-4.1261934412619343E-3"/>
    <n v="5.0000000000000002E-5"/>
    <n v="2.566401434495125E-4"/>
    <n v="1.2008733624454149E-4"/>
    <n v="1981"/>
    <n v="1.0394093914602711"/>
    <n v="40.500655021834056"/>
    <n v="-15307.599999999999"/>
    <n v="3372.6"/>
    <x v="1"/>
    <s v="Tier 2"/>
    <x v="0"/>
  </r>
  <r>
    <n v="162"/>
    <s v="February"/>
    <s v="Monday"/>
    <x v="14"/>
    <x v="7"/>
    <x v="0"/>
    <n v="4387490"/>
    <n v="63986"/>
    <n v="14609.5"/>
    <n v="2099"/>
    <n v="28"/>
    <n v="5"/>
    <n v="24905"/>
    <n v="7.0471268695027215E-3"/>
    <n v="3.2804050886131342E-4"/>
    <n v="1.333968556455455E-4"/>
    <n v="1.7857142857142857E-3"/>
    <n v="4981"/>
    <n v="6.9602191519771317"/>
    <n v="521.76785714285711"/>
    <n v="10295.5"/>
    <n v="2921.9"/>
    <x v="1"/>
    <s v="Tier 2"/>
    <x v="0"/>
  </r>
  <r>
    <n v="163"/>
    <s v="February"/>
    <s v="Monday"/>
    <x v="14"/>
    <x v="8"/>
    <x v="0"/>
    <n v="544756"/>
    <n v="1093435"/>
    <n v="6587.76"/>
    <n v="8402"/>
    <n v="4"/>
    <n v="1"/>
    <n v="741"/>
    <n v="-8.8751867098983573E-3"/>
    <n v="7.6840415754022873E-5"/>
    <n v="4.7607712449416809E-6"/>
    <n v="2.5000000000000001E-3"/>
    <n v="741"/>
    <n v="0.78407045941442521"/>
    <n v="1646.94"/>
    <n v="-5846.76"/>
    <n v="6587.76"/>
    <x v="1"/>
    <s v="Tier 2"/>
    <x v="0"/>
  </r>
  <r>
    <n v="164"/>
    <s v="February"/>
    <s v="Monday"/>
    <x v="14"/>
    <x v="9"/>
    <x v="2"/>
    <n v="374754"/>
    <n v="2100700"/>
    <n v="82452"/>
    <n v="21007"/>
    <n v="122"/>
    <n v="24"/>
    <n v="103392"/>
    <n v="2.5396594382186E-3"/>
    <n v="1E-4"/>
    <n v="5.8075879468748514E-5"/>
    <n v="1.9672131147540984E-3"/>
    <n v="4308"/>
    <n v="3.9249773884895509"/>
    <n v="675.8360655737705"/>
    <n v="20940"/>
    <n v="3435.5"/>
    <x v="1"/>
    <s v="Tier 2"/>
    <x v="0"/>
  </r>
  <r>
    <n v="165"/>
    <s v="February"/>
    <s v="Monday"/>
    <x v="14"/>
    <x v="10"/>
    <x v="3"/>
    <n v="39889"/>
    <n v="8747458"/>
    <n v="543275"/>
    <n v="29390"/>
    <n v="1061"/>
    <n v="171"/>
    <n v="809685"/>
    <n v="4.9037780129768532E-3"/>
    <n v="3.3598332224058694E-5"/>
    <n v="3.6100714528751276E-4"/>
    <n v="1.6116870876531574E-3"/>
    <n v="4735"/>
    <n v="18.485028921401838"/>
    <n v="512.04052780395853"/>
    <n v="266410"/>
    <n v="3177.0467836257308"/>
    <x v="1"/>
    <s v="Tier 2"/>
    <x v="0"/>
  </r>
  <r>
    <n v="166"/>
    <s v="February"/>
    <s v="Tuesday"/>
    <x v="15"/>
    <x v="0"/>
    <x v="0"/>
    <n v="349043"/>
    <n v="3839000"/>
    <n v="393027"/>
    <n v="19195"/>
    <n v="384"/>
    <n v="64"/>
    <n v="336448"/>
    <n v="-1.4395703094189458E-3"/>
    <n v="5.0000000000000002E-5"/>
    <n v="2.0005209690023443E-4"/>
    <n v="1.6666666666666666E-3"/>
    <n v="5257"/>
    <n v="20.475488408439698"/>
    <n v="1023.5078125"/>
    <n v="-56579"/>
    <n v="6141.046875"/>
    <x v="0"/>
    <s v="Tier 1"/>
    <x v="0"/>
  </r>
  <r>
    <n v="167"/>
    <s v="February"/>
    <s v="Tuesday"/>
    <x v="15"/>
    <x v="1"/>
    <x v="0"/>
    <n v="348934"/>
    <n v="5280000"/>
    <n v="595176"/>
    <n v="26400"/>
    <n v="923"/>
    <n v="80"/>
    <n v="392160"/>
    <n v="-3.4110246380902455E-3"/>
    <n v="5.0000000000000002E-5"/>
    <n v="3.4962121212121213E-4"/>
    <n v="8.6673889490790899E-4"/>
    <n v="4902"/>
    <n v="22.544545454545453"/>
    <n v="644.82773564463707"/>
    <n v="-203016"/>
    <n v="7439.7"/>
    <x v="1"/>
    <s v="Tier 2"/>
    <x v="0"/>
  </r>
  <r>
    <n v="168"/>
    <s v="February"/>
    <s v="Tuesday"/>
    <x v="15"/>
    <x v="2"/>
    <x v="1"/>
    <n v="89459845"/>
    <n v="373184"/>
    <n v="102053"/>
    <n v="7198"/>
    <n v="144"/>
    <n v="22"/>
    <n v="185482"/>
    <n v="8.1750658971318831E-3"/>
    <n v="1.9288072371805864E-4"/>
    <n v="2.0005557099194219E-4"/>
    <n v="1.5277777777777779E-3"/>
    <n v="8431"/>
    <n v="14.177966101694915"/>
    <n v="708.70138888888891"/>
    <n v="83429"/>
    <n v="4638.772727272727"/>
    <x v="1"/>
    <s v="Tier 2"/>
    <x v="0"/>
  </r>
  <r>
    <n v="169"/>
    <s v="February"/>
    <s v="Tuesday"/>
    <x v="15"/>
    <x v="3"/>
    <x v="1"/>
    <n v="127823"/>
    <n v="3841400"/>
    <n v="271906"/>
    <n v="19207"/>
    <n v="666"/>
    <n v="67"/>
    <n v="199727"/>
    <n v="-2.6545570895824292E-3"/>
    <n v="5.0000000000000002E-5"/>
    <n v="3.4674858124642059E-4"/>
    <n v="1.0060060060060058E-3"/>
    <n v="2981"/>
    <n v="14.156609569427813"/>
    <n v="408.26726726726724"/>
    <n v="-72179"/>
    <n v="4058.2985074626868"/>
    <x v="1"/>
    <s v="Tier 2"/>
    <x v="0"/>
  </r>
  <r>
    <n v="170"/>
    <s v="February"/>
    <s v="Tuesday"/>
    <x v="15"/>
    <x v="4"/>
    <x v="2"/>
    <n v="10934"/>
    <n v="4371118"/>
    <n v="221258"/>
    <n v="35999"/>
    <n v="720"/>
    <n v="128"/>
    <n v="1021570"/>
    <n v="3.6170985907854176E-2"/>
    <n v="8.235650467454778E-5"/>
    <n v="2.0000555570988084E-4"/>
    <n v="1.7777777777777779E-3"/>
    <n v="7981.015625"/>
    <n v="6.1462262840634461"/>
    <n v="307.30277777777781"/>
    <n v="800312"/>
    <n v="1728.578125"/>
    <x v="1"/>
    <s v="Tier 2"/>
    <x v="0"/>
  </r>
  <r>
    <n v="171"/>
    <s v="February"/>
    <s v="Tuesday"/>
    <x v="15"/>
    <x v="5"/>
    <x v="0"/>
    <n v="9034945"/>
    <n v="4319200"/>
    <n v="143680"/>
    <n v="21596"/>
    <n v="432"/>
    <n v="34"/>
    <n v="171972"/>
    <n v="1.9690979955456571E-3"/>
    <n v="5.0000000000000002E-5"/>
    <n v="2.0003704389701796E-4"/>
    <n v="7.8703703703703705E-4"/>
    <n v="5058"/>
    <n v="6.6530839044267456"/>
    <n v="332.59259259259261"/>
    <n v="28292"/>
    <n v="4225.8823529411766"/>
    <x v="0"/>
    <s v="Tier 1"/>
    <x v="0"/>
  </r>
  <r>
    <n v="172"/>
    <s v="February"/>
    <s v="Tuesday"/>
    <x v="15"/>
    <x v="6"/>
    <x v="0"/>
    <n v="983498"/>
    <n v="15988504"/>
    <n v="103731"/>
    <n v="40794"/>
    <n v="816"/>
    <n v="24"/>
    <n v="41424"/>
    <n v="-6.0065939786563324E-3"/>
    <n v="2.5514582227330337E-5"/>
    <n v="2.0002941609060157E-4"/>
    <n v="2.941176470588235E-4"/>
    <n v="1726"/>
    <n v="2.5428004118252683"/>
    <n v="127.12132352941177"/>
    <n v="-62307"/>
    <n v="4322.125"/>
    <x v="1"/>
    <s v="Tier 2"/>
    <x v="0"/>
  </r>
  <r>
    <n v="173"/>
    <s v="February"/>
    <s v="Tuesday"/>
    <x v="15"/>
    <x v="7"/>
    <x v="0"/>
    <n v="4387490"/>
    <n v="80233"/>
    <n v="31712"/>
    <n v="2407"/>
    <n v="48"/>
    <n v="12"/>
    <n v="59772"/>
    <n v="8.8483854692230062E-3"/>
    <n v="3.0000124636994749E-4"/>
    <n v="1.9941836310760283E-4"/>
    <n v="2.5000000000000001E-3"/>
    <n v="4981"/>
    <n v="13.174906522642294"/>
    <n v="660.66666666666663"/>
    <n v="28060"/>
    <n v="2642.6666666666665"/>
    <x v="1"/>
    <s v="Tier 2"/>
    <x v="0"/>
  </r>
  <r>
    <n v="174"/>
    <s v="February"/>
    <s v="Tuesday"/>
    <x v="15"/>
    <x v="8"/>
    <x v="0"/>
    <n v="544756"/>
    <n v="1576818"/>
    <n v="345629"/>
    <n v="9597"/>
    <n v="292"/>
    <n v="39"/>
    <n v="25857"/>
    <n v="-9.251885692462148E-3"/>
    <n v="6.0863079949620061E-5"/>
    <n v="3.0426174846306139E-4"/>
    <n v="1.3356164383561645E-3"/>
    <n v="663"/>
    <n v="36.014275294362825"/>
    <n v="1183.6609589041095"/>
    <n v="-319772"/>
    <n v="8862.2820512820508"/>
    <x v="1"/>
    <s v="Tier 2"/>
    <x v="0"/>
  </r>
  <r>
    <n v="175"/>
    <s v="February"/>
    <s v="Tuesday"/>
    <x v="15"/>
    <x v="9"/>
    <x v="2"/>
    <n v="374754"/>
    <n v="3937010"/>
    <n v="620903"/>
    <n v="23994"/>
    <n v="833"/>
    <n v="160"/>
    <n v="939360"/>
    <n v="5.1289331827998894E-3"/>
    <n v="6.0944727089847373E-5"/>
    <n v="3.4717012586479954E-4"/>
    <n v="1.9207683073229293E-3"/>
    <n v="5871"/>
    <n v="25.877427690255896"/>
    <n v="745.38175270108047"/>
    <n v="318457"/>
    <n v="3880.6437500000002"/>
    <x v="1"/>
    <s v="Tier 2"/>
    <x v="0"/>
  </r>
  <r>
    <n v="176"/>
    <s v="February"/>
    <s v="Tuesday"/>
    <x v="15"/>
    <x v="10"/>
    <x v="3"/>
    <n v="39889"/>
    <n v="56876855"/>
    <n v="206424"/>
    <n v="33592"/>
    <n v="416"/>
    <n v="62"/>
    <n v="246822"/>
    <n v="1.9570398790838277E-3"/>
    <n v="5.9060930847881794E-6"/>
    <n v="1.238390092879257E-4"/>
    <n v="1.4903846153846154E-3"/>
    <n v="3981"/>
    <n v="6.1450345320314357"/>
    <n v="496.21153846153845"/>
    <n v="40398"/>
    <n v="3329.4193548387098"/>
    <x v="1"/>
    <s v="Tier 2"/>
    <x v="0"/>
  </r>
  <r>
    <n v="177"/>
    <s v="February"/>
    <s v="Wednesday"/>
    <x v="16"/>
    <x v="0"/>
    <x v="0"/>
    <n v="349043"/>
    <n v="4320600"/>
    <n v="489831"/>
    <n v="21603"/>
    <n v="652"/>
    <n v="86"/>
    <n v="428366"/>
    <n v="-1.2548205401454787E-3"/>
    <n v="5.0000000000000002E-5"/>
    <n v="3.0180993380548996E-4"/>
    <n v="1.3190184049079753E-3"/>
    <n v="4981"/>
    <n v="22.674211915011803"/>
    <n v="751.27453987730064"/>
    <n v="-61465"/>
    <n v="5695.7093023255811"/>
    <x v="0"/>
    <s v="Tier 1"/>
    <x v="0"/>
  </r>
  <r>
    <n v="178"/>
    <s v="February"/>
    <s v="Wednesday"/>
    <x v="16"/>
    <x v="1"/>
    <x v="0"/>
    <n v="348934"/>
    <n v="6102420"/>
    <n v="403691"/>
    <n v="29704"/>
    <n v="594"/>
    <n v="61"/>
    <n v="303841"/>
    <n v="-2.4734264573646673E-3"/>
    <n v="4.8675771251405186E-5"/>
    <n v="1.9997306760032317E-4"/>
    <n v="1.026936026936027E-3"/>
    <n v="4981"/>
    <n v="13.590459197414489"/>
    <n v="679.61447811447806"/>
    <n v="-99850"/>
    <n v="6617.8852459016398"/>
    <x v="1"/>
    <s v="Tier 2"/>
    <x v="0"/>
  </r>
  <r>
    <n v="179"/>
    <s v="February"/>
    <s v="Wednesday"/>
    <x v="16"/>
    <x v="2"/>
    <x v="1"/>
    <n v="89459845"/>
    <n v="490058"/>
    <n v="116213"/>
    <n v="8104"/>
    <n v="162"/>
    <n v="31"/>
    <n v="227726"/>
    <n v="9.5955702029893383E-3"/>
    <n v="1.653681809091985E-4"/>
    <n v="1.9990128331688056E-4"/>
    <n v="1.9135802469135801E-3"/>
    <n v="7346"/>
    <n v="14.340202369200394"/>
    <n v="717.3641975308642"/>
    <n v="111513"/>
    <n v="3748.8064516129034"/>
    <x v="1"/>
    <s v="Tier 2"/>
    <x v="0"/>
  </r>
  <r>
    <n v="180"/>
    <s v="February"/>
    <s v="Wednesday"/>
    <x v="16"/>
    <x v="3"/>
    <x v="1"/>
    <n v="127823"/>
    <n v="4319200"/>
    <n v="180223"/>
    <n v="21596"/>
    <n v="442"/>
    <n v="44"/>
    <n v="136708"/>
    <n v="-2.414508692009344E-3"/>
    <n v="5.0000000000000002E-5"/>
    <n v="2.0466753102426374E-4"/>
    <n v="9.9547511312217179E-4"/>
    <n v="3107"/>
    <n v="8.3452028153361741"/>
    <n v="407.74434389140271"/>
    <n v="-43515"/>
    <n v="4095.9772727272725"/>
    <x v="1"/>
    <s v="Tier 2"/>
    <x v="0"/>
  </r>
  <r>
    <n v="181"/>
    <s v="February"/>
    <s v="Wednesday"/>
    <x v="16"/>
    <x v="4"/>
    <x v="2"/>
    <n v="10934"/>
    <n v="4049400"/>
    <n v="363811"/>
    <n v="40494"/>
    <n v="746"/>
    <n v="149"/>
    <n v="1189170"/>
    <n v="2.2686477319267418E-2"/>
    <n v="1E-4"/>
    <n v="1.8422482343063168E-4"/>
    <n v="1.9973190348525471E-3"/>
    <n v="7981.0067114093963"/>
    <n v="8.9843186644935056"/>
    <n v="487.6823056300268"/>
    <n v="825359"/>
    <n v="2441.6845637583892"/>
    <x v="1"/>
    <s v="Tier 2"/>
    <x v="0"/>
  </r>
  <r>
    <n v="182"/>
    <s v="February"/>
    <s v="Wednesday"/>
    <x v="16"/>
    <x v="5"/>
    <x v="0"/>
    <n v="9034945"/>
    <n v="4999407"/>
    <n v="246023"/>
    <n v="24294"/>
    <n v="606"/>
    <n v="73"/>
    <n v="496546"/>
    <n v="1.0182909727952265E-2"/>
    <n v="4.8593763220317933E-5"/>
    <n v="2.4944430723635466E-4"/>
    <n v="1.2046204620462047E-3"/>
    <n v="6802"/>
    <n v="10.126903762245822"/>
    <n v="405.97854785478546"/>
    <n v="250523"/>
    <n v="3370.178082191781"/>
    <x v="0"/>
    <s v="Tier 1"/>
    <x v="0"/>
  </r>
  <r>
    <n v="183"/>
    <s v="February"/>
    <s v="Wednesday"/>
    <x v="16"/>
    <x v="6"/>
    <x v="0"/>
    <n v="983498"/>
    <n v="32964848"/>
    <n v="162819"/>
    <n v="45907"/>
    <n v="974"/>
    <n v="46"/>
    <n v="121900"/>
    <n v="-2.5131587836800372E-3"/>
    <n v="1.3926046314546938E-5"/>
    <n v="2.1216807894220923E-4"/>
    <n v="4.7227926078028748E-4"/>
    <n v="2650"/>
    <n v="3.5467140087568345"/>
    <n v="167.16529774127309"/>
    <n v="-40919"/>
    <n v="3539.5434782608695"/>
    <x v="1"/>
    <s v="Tier 2"/>
    <x v="0"/>
  </r>
  <r>
    <n v="184"/>
    <s v="February"/>
    <s v="Wednesday"/>
    <x v="16"/>
    <x v="7"/>
    <x v="0"/>
    <n v="4387490"/>
    <n v="84332"/>
    <n v="31422.5"/>
    <n v="2698"/>
    <n v="54"/>
    <n v="11"/>
    <n v="45441"/>
    <n v="4.4612936590023074E-3"/>
    <n v="3.1992600673528437E-4"/>
    <n v="2.0014825796886581E-4"/>
    <n v="2.0370370370370369E-3"/>
    <n v="4131"/>
    <n v="11.646590066716087"/>
    <n v="581.89814814814815"/>
    <n v="14018.5"/>
    <n v="2856.590909090909"/>
    <x v="1"/>
    <s v="Tier 2"/>
    <x v="0"/>
  </r>
  <r>
    <n v="185"/>
    <s v="February"/>
    <s v="Wednesday"/>
    <x v="16"/>
    <x v="8"/>
    <x v="0"/>
    <n v="544756"/>
    <n v="1361187"/>
    <n v="291254"/>
    <n v="10810"/>
    <n v="216"/>
    <n v="32"/>
    <n v="31392"/>
    <n v="-8.9221778928358069E-3"/>
    <n v="7.9415980317179048E-5"/>
    <n v="1.998149861239593E-4"/>
    <n v="1.4814814814814814E-3"/>
    <n v="981"/>
    <n v="26.943015726179464"/>
    <n v="1348.398148148148"/>
    <n v="-259862"/>
    <n v="9101.6875"/>
    <x v="1"/>
    <s v="Tier 2"/>
    <x v="0"/>
  </r>
  <r>
    <n v="186"/>
    <s v="February"/>
    <s v="Wednesday"/>
    <x v="16"/>
    <x v="9"/>
    <x v="2"/>
    <n v="374754"/>
    <n v="2795511"/>
    <n v="462606"/>
    <n v="26990"/>
    <n v="795"/>
    <n v="119"/>
    <n v="592739"/>
    <n v="2.8130417677245862E-3"/>
    <n v="9.6547643704496236E-5"/>
    <n v="2.9455353834753612E-4"/>
    <n v="1.4968553459119495E-3"/>
    <n v="4981"/>
    <n v="17.139903668025195"/>
    <n v="581.8943396226415"/>
    <n v="130133"/>
    <n v="3887.4453781512607"/>
    <x v="1"/>
    <s v="Tier 2"/>
    <x v="0"/>
  </r>
  <r>
    <n v="187"/>
    <s v="February"/>
    <s v="Wednesday"/>
    <x v="16"/>
    <x v="10"/>
    <x v="3"/>
    <n v="39889"/>
    <n v="16553044"/>
    <n v="523398"/>
    <n v="37805"/>
    <n v="756"/>
    <n v="142"/>
    <n v="565302"/>
    <n v="8.0061444636777364E-4"/>
    <n v="2.2838699637359752E-5"/>
    <n v="1.9997354847242426E-4"/>
    <n v="1.8783068783068781E-3"/>
    <n v="3981"/>
    <n v="13.844676630075387"/>
    <n v="692.32539682539687"/>
    <n v="41904"/>
    <n v="3685.9014084507044"/>
    <x v="1"/>
    <s v="Tier 2"/>
    <x v="0"/>
  </r>
  <r>
    <n v="188"/>
    <s v="February"/>
    <s v="Thursday"/>
    <x v="17"/>
    <x v="0"/>
    <x v="0"/>
    <n v="349043"/>
    <n v="4798200"/>
    <n v="30892.2"/>
    <n v="23991"/>
    <n v="61"/>
    <n v="6"/>
    <n v="25686"/>
    <n v="-1.6852797793617807E-3"/>
    <n v="5.0000000000000002E-5"/>
    <n v="2.5426201492226255E-5"/>
    <n v="9.8360655737704918E-4"/>
    <n v="4281"/>
    <n v="1.2876578717018883"/>
    <n v="506.42950819672132"/>
    <n v="-5206.2000000000007"/>
    <n v="5148.7"/>
    <x v="0"/>
    <s v="Tier 1"/>
    <x v="0"/>
  </r>
  <r>
    <n v="189"/>
    <s v="February"/>
    <s v="Thursday"/>
    <x v="17"/>
    <x v="1"/>
    <x v="0"/>
    <n v="348934"/>
    <n v="4678356"/>
    <n v="373294"/>
    <n v="33003"/>
    <n v="1313"/>
    <n v="51"/>
    <n v="237711"/>
    <n v="-3.6320701645351922E-3"/>
    <n v="7.0544011614336318E-5"/>
    <n v="3.9784262036784534E-4"/>
    <n v="3.8842345773038841E-4"/>
    <n v="4661"/>
    <n v="11.310911129291277"/>
    <n v="284.30616907844632"/>
    <n v="-135583"/>
    <n v="7319.4901960784309"/>
    <x v="1"/>
    <s v="Tier 2"/>
    <x v="0"/>
  </r>
  <r>
    <n v="190"/>
    <s v="February"/>
    <s v="Thursday"/>
    <x v="17"/>
    <x v="2"/>
    <x v="1"/>
    <n v="89459845"/>
    <n v="527210"/>
    <n v="119542"/>
    <n v="9004"/>
    <n v="162"/>
    <n v="28"/>
    <n v="214368"/>
    <n v="7.9324421542219473E-3"/>
    <n v="1.7078583486656172E-4"/>
    <n v="1.799200355397601E-4"/>
    <n v="1.7283950617283949E-3"/>
    <n v="7656"/>
    <n v="13.27654375832963"/>
    <n v="737.91358024691363"/>
    <n v="94826"/>
    <n v="4269.3571428571431"/>
    <x v="1"/>
    <s v="Tier 2"/>
    <x v="0"/>
  </r>
  <r>
    <n v="191"/>
    <s v="February"/>
    <s v="Thursday"/>
    <x v="17"/>
    <x v="3"/>
    <x v="1"/>
    <n v="127823"/>
    <n v="10593685"/>
    <n v="200986"/>
    <n v="24005"/>
    <n v="480"/>
    <n v="43"/>
    <n v="93353"/>
    <n v="-5.3552486242822881E-3"/>
    <n v="2.2659726053776374E-5"/>
    <n v="1.9995834201208082E-4"/>
    <n v="8.9583333333333333E-4"/>
    <n v="2171"/>
    <n v="8.3726723599250157"/>
    <n v="418.72083333333336"/>
    <n v="-107633"/>
    <n v="4674.0930232558139"/>
    <x v="1"/>
    <s v="Tier 2"/>
    <x v="0"/>
  </r>
  <r>
    <n v="192"/>
    <s v="February"/>
    <s v="Thursday"/>
    <x v="17"/>
    <x v="4"/>
    <x v="2"/>
    <n v="10934"/>
    <n v="4064081"/>
    <n v="86522.9"/>
    <n v="45004"/>
    <n v="144"/>
    <n v="31"/>
    <n v="256897"/>
    <n v="1.9691214695762627E-2"/>
    <n v="1.1073598188618781E-4"/>
    <n v="3.1997155808372591E-5"/>
    <n v="2.1527777777777778E-3"/>
    <n v="8287"/>
    <n v="1.9225602168696114"/>
    <n v="600.85347222222219"/>
    <n v="170374.1"/>
    <n v="2791.0612903225806"/>
    <x v="1"/>
    <s v="Tier 2"/>
    <x v="0"/>
  </r>
  <r>
    <n v="193"/>
    <s v="February"/>
    <s v="Thursday"/>
    <x v="17"/>
    <x v="5"/>
    <x v="0"/>
    <n v="9034945"/>
    <n v="11212959"/>
    <n v="241388"/>
    <n v="27009"/>
    <n v="599"/>
    <n v="72"/>
    <n v="430632"/>
    <n v="7.8398263376804143E-3"/>
    <n v="2.4087308265374017E-5"/>
    <n v="2.2177792587655968E-4"/>
    <n v="1.2020033388981638E-3"/>
    <n v="5981"/>
    <n v="8.9373171905661071"/>
    <n v="402.98497495826376"/>
    <n v="189244"/>
    <n v="3352.6111111111113"/>
    <x v="0"/>
    <s v="Tier 1"/>
    <x v="0"/>
  </r>
  <r>
    <n v="194"/>
    <s v="February"/>
    <s v="Thursday"/>
    <x v="17"/>
    <x v="6"/>
    <x v="0"/>
    <n v="983498"/>
    <n v="13281923"/>
    <n v="58596.4"/>
    <n v="51000"/>
    <n v="1020"/>
    <n v="16"/>
    <n v="36016"/>
    <n v="-3.8535473169000146E-3"/>
    <n v="3.8398054257655315E-5"/>
    <n v="2.0000000000000001E-4"/>
    <n v="1.5686274509803922E-4"/>
    <n v="2251"/>
    <n v="1.1489490196078431"/>
    <n v="57.447450980392155"/>
    <n v="-22580.400000000001"/>
    <n v="3662.2750000000001"/>
    <x v="1"/>
    <s v="Tier 2"/>
    <x v="0"/>
  </r>
  <r>
    <n v="195"/>
    <s v="February"/>
    <s v="Thursday"/>
    <x v="17"/>
    <x v="7"/>
    <x v="0"/>
    <n v="4387490"/>
    <n v="97885"/>
    <n v="17176.7"/>
    <n v="2991"/>
    <n v="28"/>
    <n v="6"/>
    <n v="33930"/>
    <n v="9.7535032922505486E-3"/>
    <n v="3.0556265004852635E-4"/>
    <n v="9.3614175860916082E-5"/>
    <n v="2.1428571428571425E-3"/>
    <n v="5655"/>
    <n v="5.7427950518221333"/>
    <n v="613.45357142857142"/>
    <n v="16753.3"/>
    <n v="2862.7833333333333"/>
    <x v="1"/>
    <s v="Tier 2"/>
    <x v="0"/>
  </r>
  <r>
    <n v="196"/>
    <s v="February"/>
    <s v="Thursday"/>
    <x v="17"/>
    <x v="8"/>
    <x v="0"/>
    <n v="544756"/>
    <n v="1181224"/>
    <n v="171831"/>
    <n v="11991"/>
    <n v="128"/>
    <n v="19"/>
    <n v="17917"/>
    <n v="-8.9572894297303748E-3"/>
    <n v="1.0151334547892695E-4"/>
    <n v="1.0674672671170044E-4"/>
    <n v="1.484375E-3"/>
    <n v="943"/>
    <n v="14.329997498123593"/>
    <n v="1342.4296875"/>
    <n v="-153914"/>
    <n v="9043.7368421052633"/>
    <x v="1"/>
    <s v="Tier 2"/>
    <x v="0"/>
  </r>
  <r>
    <n v="197"/>
    <s v="February"/>
    <s v="Thursday"/>
    <x v="17"/>
    <x v="9"/>
    <x v="2"/>
    <n v="374754"/>
    <n v="2482796"/>
    <n v="518530"/>
    <n v="30000"/>
    <n v="1032"/>
    <n v="134"/>
    <n v="796630"/>
    <n v="5.3632383854357512E-3"/>
    <n v="1.2083151414775922E-4"/>
    <n v="3.4400000000000001E-4"/>
    <n v="1.2984496124031008E-3"/>
    <n v="5945"/>
    <n v="17.284333333333333"/>
    <n v="502.45155038759691"/>
    <n v="278100"/>
    <n v="3869.626865671642"/>
    <x v="1"/>
    <s v="Tier 2"/>
    <x v="0"/>
  </r>
  <r>
    <n v="198"/>
    <s v="February"/>
    <s v="Thursday"/>
    <x v="17"/>
    <x v="10"/>
    <x v="3"/>
    <n v="39889"/>
    <n v="419970000"/>
    <n v="339735"/>
    <n v="41997"/>
    <n v="840"/>
    <n v="114"/>
    <n v="516420"/>
    <n v="5.2006711113073423E-3"/>
    <n v="9.9999999999999995E-7"/>
    <n v="2.0001428673476675E-4"/>
    <n v="1.3571428571428571E-3"/>
    <n v="4530"/>
    <n v="8.0895063933138083"/>
    <n v="404.44642857142856"/>
    <n v="176685"/>
    <n v="2980.1315789473683"/>
    <x v="1"/>
    <s v="Tier 2"/>
    <x v="0"/>
  </r>
  <r>
    <n v="199"/>
    <s v="February"/>
    <s v="Friday"/>
    <x v="18"/>
    <x v="0"/>
    <x v="0"/>
    <n v="349043"/>
    <n v="15345139"/>
    <n v="53253.9"/>
    <n v="26407"/>
    <n v="71"/>
    <n v="10"/>
    <n v="44550"/>
    <n v="-1.6344155075966268E-3"/>
    <n v="1.7208706939702536E-5"/>
    <n v="2.6886810315446663E-5"/>
    <n v="1.4084507042253522E-3"/>
    <n v="4455"/>
    <n v="2.0166584617715002"/>
    <n v="750.0549295774648"/>
    <n v="-8703.9000000000015"/>
    <n v="5325.39"/>
    <x v="0"/>
    <s v="Tier 1"/>
    <x v="0"/>
  </r>
  <r>
    <n v="200"/>
    <s v="February"/>
    <s v="Friday"/>
    <x v="18"/>
    <x v="1"/>
    <x v="0"/>
    <n v="348934"/>
    <n v="7260800"/>
    <n v="415376"/>
    <n v="36304"/>
    <n v="726"/>
    <n v="58"/>
    <n v="288898"/>
    <n v="-3.0449038943029926E-3"/>
    <n v="5.0000000000000002E-5"/>
    <n v="1.9997796386073163E-4"/>
    <n v="7.9889807162534436E-4"/>
    <n v="4981"/>
    <n v="11.44160423093874"/>
    <n v="572.14325068870528"/>
    <n v="-126478"/>
    <n v="7161.6551724137935"/>
    <x v="1"/>
    <s v="Tier 2"/>
    <x v="0"/>
  </r>
  <r>
    <n v="201"/>
    <s v="February"/>
    <s v="Friday"/>
    <x v="18"/>
    <x v="2"/>
    <x v="1"/>
    <n v="89459845"/>
    <n v="413291"/>
    <n v="9777.5499999999993"/>
    <n v="9904"/>
    <n v="14"/>
    <n v="2"/>
    <n v="15962"/>
    <n v="6.3251530291330658E-3"/>
    <n v="2.3963744673849657E-4"/>
    <n v="1.4135702746365104E-5"/>
    <n v="1.4285714285714286E-3"/>
    <n v="7981"/>
    <n v="0.98723243134087235"/>
    <n v="698.39642857142849"/>
    <n v="6184.4500000000007"/>
    <n v="4888.7749999999996"/>
    <x v="1"/>
    <s v="Tier 2"/>
    <x v="0"/>
  </r>
  <r>
    <n v="202"/>
    <s v="February"/>
    <s v="Friday"/>
    <x v="18"/>
    <x v="3"/>
    <x v="1"/>
    <n v="127823"/>
    <n v="8455475"/>
    <n v="81623.5"/>
    <n v="26406"/>
    <n v="281"/>
    <n v="20"/>
    <n v="72300"/>
    <n v="-1.1422568255465644E-3"/>
    <n v="3.1229469663147249E-5"/>
    <n v="1.0641520866469741E-4"/>
    <n v="7.1174377224199293E-4"/>
    <n v="3615"/>
    <n v="3.0910967204423239"/>
    <n v="290.47508896797154"/>
    <n v="-9323.5"/>
    <n v="4081.1750000000002"/>
    <x v="1"/>
    <s v="Tier 2"/>
    <x v="0"/>
  </r>
  <r>
    <n v="203"/>
    <s v="February"/>
    <s v="Friday"/>
    <x v="18"/>
    <x v="4"/>
    <x v="2"/>
    <n v="10934"/>
    <n v="3801165"/>
    <n v="880357"/>
    <n v="49510"/>
    <n v="1666"/>
    <n v="369"/>
    <n v="2812520"/>
    <n v="2.1947494027990917E-2"/>
    <n v="1.3024954191675445E-4"/>
    <n v="3.3649767723692187E-4"/>
    <n v="2.2148859543817527E-3"/>
    <n v="7622.0054200542008"/>
    <n v="17.781397697434862"/>
    <n v="528.42557022809126"/>
    <n v="1932163"/>
    <n v="2385.791327913279"/>
    <x v="1"/>
    <s v="Tier 2"/>
    <x v="0"/>
  </r>
  <r>
    <n v="204"/>
    <s v="February"/>
    <s v="Friday"/>
    <x v="18"/>
    <x v="5"/>
    <x v="0"/>
    <n v="9034945"/>
    <n v="6168252"/>
    <n v="300775"/>
    <n v="29699"/>
    <n v="1082"/>
    <n v="96"/>
    <n v="574176"/>
    <n v="9.0898844651317433E-3"/>
    <n v="4.8148162558857841E-5"/>
    <n v="3.6432203104481633E-4"/>
    <n v="8.8724584103512018E-4"/>
    <n v="5981"/>
    <n v="10.127445368530926"/>
    <n v="277.98059149722735"/>
    <n v="273401"/>
    <n v="3133.0729166666665"/>
    <x v="0"/>
    <s v="Tier 1"/>
    <x v="0"/>
  </r>
  <r>
    <n v="205"/>
    <s v="February"/>
    <s v="Friday"/>
    <x v="18"/>
    <x v="6"/>
    <x v="0"/>
    <n v="983498"/>
    <n v="11222000"/>
    <n v="9908.98"/>
    <n v="56110"/>
    <n v="185"/>
    <n v="3"/>
    <n v="3621"/>
    <n v="-6.3457389156098805E-3"/>
    <n v="5.0000000000000002E-5"/>
    <n v="3.2970949919800396E-5"/>
    <n v="1.6216216216216218E-4"/>
    <n v="1207"/>
    <n v="0.17659918018178578"/>
    <n v="53.562054054054052"/>
    <n v="-6287.98"/>
    <n v="3302.9933333333333"/>
    <x v="1"/>
    <s v="Tier 2"/>
    <x v="0"/>
  </r>
  <r>
    <n v="206"/>
    <s v="February"/>
    <s v="Friday"/>
    <x v="18"/>
    <x v="7"/>
    <x v="0"/>
    <n v="4387490"/>
    <n v="115166"/>
    <n v="3173.41"/>
    <n v="3297"/>
    <n v="7"/>
    <n v="1"/>
    <n v="5199"/>
    <n v="6.3830075533889419E-3"/>
    <n v="2.8628240973898548E-4"/>
    <n v="2.1231422505307854E-5"/>
    <n v="1.4285714285714286E-3"/>
    <n v="5199"/>
    <n v="0.96251440703669999"/>
    <n v="453.34428571428572"/>
    <n v="2025.5900000000001"/>
    <n v="3173.41"/>
    <x v="1"/>
    <s v="Tier 2"/>
    <x v="0"/>
  </r>
  <r>
    <n v="207"/>
    <s v="February"/>
    <s v="Friday"/>
    <x v="18"/>
    <x v="8"/>
    <x v="0"/>
    <n v="544756"/>
    <n v="1320200"/>
    <n v="440355"/>
    <n v="13202"/>
    <n v="264"/>
    <n v="45"/>
    <n v="80325"/>
    <n v="-8.1759035323772863E-3"/>
    <n v="1E-4"/>
    <n v="1.9996970156036965E-4"/>
    <n v="1.7045454545454545E-3"/>
    <n v="1785"/>
    <n v="33.355173458566881"/>
    <n v="1668.0113636363637"/>
    <n v="-360030"/>
    <n v="9785.6666666666661"/>
    <x v="1"/>
    <s v="Tier 2"/>
    <x v="0"/>
  </r>
  <r>
    <n v="208"/>
    <s v="February"/>
    <s v="Friday"/>
    <x v="18"/>
    <x v="9"/>
    <x v="2"/>
    <n v="374754"/>
    <n v="3299900"/>
    <n v="404285"/>
    <n v="32999"/>
    <n v="694"/>
    <n v="104"/>
    <n v="519272"/>
    <n v="2.8442064385272763E-3"/>
    <n v="1E-4"/>
    <n v="2.1030940331525199E-4"/>
    <n v="1.4985590778097981E-3"/>
    <n v="4993"/>
    <n v="12.251431861571563"/>
    <n v="582.54322766570601"/>
    <n v="114987"/>
    <n v="3887.3557692307691"/>
    <x v="1"/>
    <s v="Tier 2"/>
    <x v="0"/>
  </r>
  <r>
    <n v="209"/>
    <s v="February"/>
    <s v="Friday"/>
    <x v="18"/>
    <x v="10"/>
    <x v="3"/>
    <n v="39889"/>
    <n v="19065489"/>
    <n v="492126"/>
    <n v="46209"/>
    <n v="924"/>
    <n v="139"/>
    <n v="556417"/>
    <n v="1.3063930781954214E-3"/>
    <n v="2.4236986525758663E-5"/>
    <n v="1.9996104654937351E-4"/>
    <n v="1.5043290043290044E-3"/>
    <n v="4003"/>
    <n v="10.650003246120885"/>
    <n v="532.60389610389609"/>
    <n v="64291"/>
    <n v="3540.4748201438847"/>
    <x v="1"/>
    <s v="Tier 2"/>
    <x v="0"/>
  </r>
  <r>
    <n v="210"/>
    <s v="February"/>
    <s v="Saturday"/>
    <x v="19"/>
    <x v="0"/>
    <x v="0"/>
    <n v="349043"/>
    <n v="9916906"/>
    <n v="56874.2"/>
    <n v="28796"/>
    <n v="88"/>
    <n v="12"/>
    <n v="59772"/>
    <n v="5.0951046344388192E-4"/>
    <n v="2.9037282394327422E-5"/>
    <n v="3.0559799972218361E-5"/>
    <n v="1.3636363636363635E-3"/>
    <n v="4981"/>
    <n v="1.9750729267953882"/>
    <n v="646.29772727272723"/>
    <n v="2897.8000000000029"/>
    <n v="4739.5166666666664"/>
    <x v="0"/>
    <s v="Tier 1"/>
    <x v="1"/>
  </r>
  <r>
    <n v="211"/>
    <s v="February"/>
    <s v="Saturday"/>
    <x v="19"/>
    <x v="1"/>
    <x v="0"/>
    <n v="348934"/>
    <n v="7918600"/>
    <n v="455831"/>
    <n v="39593"/>
    <n v="853"/>
    <n v="68"/>
    <n v="387124"/>
    <n v="-1.5072910793693275E-3"/>
    <n v="5.0000000000000002E-5"/>
    <n v="2.1544212360770845E-4"/>
    <n v="7.9718640093786642E-4"/>
    <n v="5693"/>
    <n v="11.5129189503195"/>
    <n v="534.38569753810077"/>
    <n v="-68707"/>
    <n v="6703.3970588235297"/>
    <x v="1"/>
    <s v="Tier 2"/>
    <x v="1"/>
  </r>
  <r>
    <n v="212"/>
    <s v="February"/>
    <s v="Saturday"/>
    <x v="19"/>
    <x v="2"/>
    <x v="1"/>
    <n v="89459845"/>
    <n v="540450"/>
    <n v="190469"/>
    <n v="10809"/>
    <n v="359"/>
    <n v="47"/>
    <n v="365378"/>
    <n v="9.1830691608608232E-3"/>
    <n v="2.0000000000000001E-4"/>
    <n v="3.3213063188084E-4"/>
    <n v="1.3091922005571031E-3"/>
    <n v="7774"/>
    <n v="17.621334073457305"/>
    <n v="530.55431754874655"/>
    <n v="174909"/>
    <n v="4052.5319148936169"/>
    <x v="1"/>
    <s v="Tier 2"/>
    <x v="1"/>
  </r>
  <r>
    <n v="213"/>
    <s v="February"/>
    <s v="Saturday"/>
    <x v="19"/>
    <x v="3"/>
    <x v="1"/>
    <n v="127823"/>
    <n v="5762000"/>
    <n v="435770"/>
    <n v="28810"/>
    <n v="732"/>
    <n v="96"/>
    <n v="253440"/>
    <n v="-4.1840879362966708E-3"/>
    <n v="5.0000000000000002E-5"/>
    <n v="2.5407844498438043E-4"/>
    <n v="1.3114754098360656E-3"/>
    <n v="2640"/>
    <n v="15.125650815688997"/>
    <n v="595.31420765027326"/>
    <n v="-182330"/>
    <n v="4539.270833333333"/>
    <x v="1"/>
    <s v="Tier 2"/>
    <x v="1"/>
  </r>
  <r>
    <n v="214"/>
    <s v="February"/>
    <s v="Saturday"/>
    <x v="19"/>
    <x v="4"/>
    <x v="2"/>
    <n v="10934"/>
    <n v="5399300"/>
    <n v="303860"/>
    <n v="53993"/>
    <n v="1094"/>
    <n v="182"/>
    <n v="1452540"/>
    <n v="3.7802935562430064E-2"/>
    <n v="1E-4"/>
    <n v="2.0261885800011112E-4"/>
    <n v="1.6636197440585011E-3"/>
    <n v="7980.9890109890111"/>
    <n v="5.6277665623321544"/>
    <n v="277.7513711151737"/>
    <n v="1148680"/>
    <n v="1669.5604395604396"/>
    <x v="1"/>
    <s v="Tier 2"/>
    <x v="1"/>
  </r>
  <r>
    <n v="215"/>
    <s v="February"/>
    <s v="Saturday"/>
    <x v="19"/>
    <x v="5"/>
    <x v="0"/>
    <n v="9034945"/>
    <n v="7669421"/>
    <n v="404737"/>
    <n v="32395"/>
    <n v="1003"/>
    <n v="139"/>
    <n v="847066"/>
    <n v="1.0928800677971126E-2"/>
    <n v="4.2239172944085349E-5"/>
    <n v="3.0961568143231981E-4"/>
    <n v="1.3858424725822533E-3"/>
    <n v="6094"/>
    <n v="12.49381077326748"/>
    <n v="403.52642073778662"/>
    <n v="442329"/>
    <n v="2911.776978417266"/>
    <x v="0"/>
    <s v="Tier 1"/>
    <x v="1"/>
  </r>
  <r>
    <n v="216"/>
    <s v="February"/>
    <s v="Saturday"/>
    <x v="19"/>
    <x v="6"/>
    <x v="0"/>
    <n v="983498"/>
    <n v="12239000"/>
    <n v="150065"/>
    <n v="61195"/>
    <n v="1224"/>
    <n v="48"/>
    <n v="73392"/>
    <n v="-5.1093192949721788E-3"/>
    <n v="5.0000000000000002E-5"/>
    <n v="2.0001634120434678E-4"/>
    <n v="3.9215686274509802E-4"/>
    <n v="1529"/>
    <n v="2.4522428302965928"/>
    <n v="122.60212418300654"/>
    <n v="-76673"/>
    <n v="3126.3541666666665"/>
    <x v="1"/>
    <s v="Tier 2"/>
    <x v="1"/>
  </r>
  <r>
    <n v="217"/>
    <s v="February"/>
    <s v="Saturday"/>
    <x v="19"/>
    <x v="7"/>
    <x v="0"/>
    <n v="4387490"/>
    <n v="111784"/>
    <n v="73587.5"/>
    <n v="3594"/>
    <n v="116"/>
    <n v="24"/>
    <n v="119544"/>
    <n v="6.245150331238322E-3"/>
    <n v="3.2151291776998499E-4"/>
    <n v="3.2276015581524765E-4"/>
    <n v="2.0689655172413794E-3"/>
    <n v="4981"/>
    <n v="20.475097384529771"/>
    <n v="634.375"/>
    <n v="45956.5"/>
    <n v="3066.1458333333335"/>
    <x v="1"/>
    <s v="Tier 2"/>
    <x v="1"/>
  </r>
  <r>
    <n v="218"/>
    <s v="February"/>
    <s v="Saturday"/>
    <x v="19"/>
    <x v="8"/>
    <x v="0"/>
    <n v="544756"/>
    <n v="1118531"/>
    <n v="173041"/>
    <n v="14399"/>
    <n v="113"/>
    <n v="18"/>
    <n v="17658"/>
    <n v="-8.9795481995596418E-3"/>
    <n v="1.2873134495154805E-4"/>
    <n v="7.8477672060559765E-5"/>
    <n v="1.5929203539823008E-3"/>
    <n v="981"/>
    <n v="12.017570664629488"/>
    <n v="1531.3362831858408"/>
    <n v="-155383"/>
    <n v="9613.3888888888887"/>
    <x v="1"/>
    <s v="Tier 2"/>
    <x v="1"/>
  </r>
  <r>
    <n v="219"/>
    <s v="February"/>
    <s v="Saturday"/>
    <x v="19"/>
    <x v="9"/>
    <x v="2"/>
    <n v="374754"/>
    <n v="5497354"/>
    <n v="504576"/>
    <n v="35994"/>
    <n v="822"/>
    <n v="137"/>
    <n v="682397"/>
    <n v="3.5241668252156268E-3"/>
    <n v="6.5475135856268298E-5"/>
    <n v="2.2837139523253878E-4"/>
    <n v="1.6666666666666666E-3"/>
    <n v="4981"/>
    <n v="14.018336389398232"/>
    <n v="613.83941605839414"/>
    <n v="177821"/>
    <n v="3683.0364963503648"/>
    <x v="1"/>
    <s v="Tier 2"/>
    <x v="1"/>
  </r>
  <r>
    <n v="220"/>
    <s v="February"/>
    <s v="Saturday"/>
    <x v="19"/>
    <x v="10"/>
    <x v="3"/>
    <n v="39889"/>
    <n v="26012342"/>
    <n v="750361"/>
    <n v="50408"/>
    <n v="1678"/>
    <n v="252"/>
    <n v="1003210"/>
    <n v="3.3696980520043019E-3"/>
    <n v="1.9378493485899886E-5"/>
    <n v="3.3288366925884779E-4"/>
    <n v="1.501787842669845E-3"/>
    <n v="3980.9920634920636"/>
    <n v="14.885752261545786"/>
    <n v="447.17580452920146"/>
    <n v="252849"/>
    <n v="2977.6230158730159"/>
    <x v="1"/>
    <s v="Tier 2"/>
    <x v="1"/>
  </r>
  <r>
    <n v="221"/>
    <s v="February"/>
    <s v="Sunday"/>
    <x v="20"/>
    <x v="0"/>
    <x v="0"/>
    <n v="349043"/>
    <n v="478600"/>
    <n v="38596.699999999997"/>
    <n v="2393"/>
    <n v="66"/>
    <n v="7"/>
    <n v="31094"/>
    <n v="-1.9438708490622249E-3"/>
    <n v="5.0000000000000002E-5"/>
    <n v="2.7580442958629334E-4"/>
    <n v="1.0606060606060607E-3"/>
    <n v="4442"/>
    <n v="16.129001253656497"/>
    <n v="584.7984848484848"/>
    <n v="-7502.6999999999971"/>
    <n v="5513.8142857142857"/>
    <x v="0"/>
    <s v="Tier 1"/>
    <x v="1"/>
  </r>
  <r>
    <n v="222"/>
    <s v="February"/>
    <s v="Sunday"/>
    <x v="20"/>
    <x v="1"/>
    <x v="0"/>
    <n v="348934"/>
    <n v="543787"/>
    <n v="39481"/>
    <n v="3299"/>
    <n v="113"/>
    <n v="6"/>
    <n v="29538"/>
    <n v="-2.5184265849395909E-3"/>
    <n v="6.0667136213259971E-5"/>
    <n v="3.4252803879963629E-4"/>
    <n v="5.3097345132743366E-4"/>
    <n v="4923"/>
    <n v="11.967565929069416"/>
    <n v="349.38938053097343"/>
    <n v="-9943"/>
    <n v="6580.166666666667"/>
    <x v="1"/>
    <s v="Tier 2"/>
    <x v="1"/>
  </r>
  <r>
    <n v="223"/>
    <s v="February"/>
    <s v="Sunday"/>
    <x v="20"/>
    <x v="2"/>
    <x v="1"/>
    <n v="89459845"/>
    <n v="49655"/>
    <n v="9444.1200000000008"/>
    <n v="907"/>
    <n v="18"/>
    <n v="2"/>
    <n v="15962"/>
    <n v="6.9015217934545502E-3"/>
    <n v="1.8266035645957102E-4"/>
    <n v="1.9845644983461963E-4"/>
    <n v="1.1111111111111111E-3"/>
    <n v="7981"/>
    <n v="10.412480705622933"/>
    <n v="524.6733333333334"/>
    <n v="6517.8799999999992"/>
    <n v="4722.0600000000004"/>
    <x v="1"/>
    <s v="Tier 2"/>
    <x v="1"/>
  </r>
  <r>
    <n v="224"/>
    <s v="February"/>
    <s v="Sunday"/>
    <x v="20"/>
    <x v="3"/>
    <x v="1"/>
    <n v="127823"/>
    <n v="478400"/>
    <n v="17476.2"/>
    <n v="2392"/>
    <n v="48"/>
    <n v="5"/>
    <n v="12910"/>
    <n v="-2.6128105652258506E-3"/>
    <n v="5.0000000000000002E-5"/>
    <n v="2.0066889632107025E-4"/>
    <n v="1.0416666666666667E-3"/>
    <n v="2582"/>
    <n v="7.306103678929766"/>
    <n v="364.08750000000003"/>
    <n v="-4566.2000000000007"/>
    <n v="3495.2400000000002"/>
    <x v="1"/>
    <s v="Tier 2"/>
    <x v="1"/>
  </r>
  <r>
    <n v="225"/>
    <s v="February"/>
    <s v="Sunday"/>
    <x v="20"/>
    <x v="4"/>
    <x v="2"/>
    <n v="10934"/>
    <n v="713896"/>
    <n v="30801"/>
    <n v="4507"/>
    <n v="90"/>
    <n v="20"/>
    <n v="159620"/>
    <n v="4.1822992759975329E-2"/>
    <n v="6.3132445062025839E-5"/>
    <n v="1.9968937208786331E-4"/>
    <n v="2.2222222222222222E-3"/>
    <n v="7981"/>
    <n v="6.8340359440869758"/>
    <n v="342.23333333333335"/>
    <n v="128819"/>
    <n v="1540.05"/>
    <x v="1"/>
    <s v="Tier 2"/>
    <x v="1"/>
  </r>
  <r>
    <n v="226"/>
    <s v="February"/>
    <s v="Sunday"/>
    <x v="20"/>
    <x v="5"/>
    <x v="0"/>
    <n v="9034945"/>
    <n v="555915"/>
    <n v="29457.5"/>
    <n v="2709"/>
    <n v="60"/>
    <n v="10"/>
    <n v="55540"/>
    <n v="8.8542815921242475E-3"/>
    <n v="4.8730471385013891E-5"/>
    <n v="2.2148394241417498E-4"/>
    <n v="1.6666666666666666E-3"/>
    <n v="5554"/>
    <n v="10.873938722775932"/>
    <n v="490.95833333333331"/>
    <n v="26082.5"/>
    <n v="2945.75"/>
    <x v="0"/>
    <s v="Tier 1"/>
    <x v="1"/>
  </r>
  <r>
    <n v="227"/>
    <s v="February"/>
    <s v="Sunday"/>
    <x v="20"/>
    <x v="6"/>
    <x v="0"/>
    <n v="983498"/>
    <n v="781353"/>
    <n v="12503.5"/>
    <n v="5104"/>
    <n v="102"/>
    <n v="4"/>
    <n v="7924"/>
    <n v="-3.6625744791458394E-3"/>
    <n v="6.5322587870015223E-5"/>
    <n v="1.9984326018808777E-4"/>
    <n v="3.9215686274509802E-4"/>
    <n v="1981"/>
    <n v="2.4497452978056424"/>
    <n v="122.58333333333333"/>
    <n v="-4579.5"/>
    <n v="3125.875"/>
    <x v="1"/>
    <s v="Tier 2"/>
    <x v="1"/>
  </r>
  <r>
    <n v="228"/>
    <s v="February"/>
    <s v="Sunday"/>
    <x v="20"/>
    <x v="7"/>
    <x v="0"/>
    <n v="4387490"/>
    <n v="10812"/>
    <n v="1555.96"/>
    <n v="296"/>
    <n v="3"/>
    <n v="1"/>
    <n v="3993"/>
    <n v="1.5662613434792666E-2"/>
    <n v="2.7376988531261563E-4"/>
    <n v="1.0135135135135136E-4"/>
    <n v="3.3333333333333331E-3"/>
    <n v="3993"/>
    <n v="5.2566216216216217"/>
    <n v="518.65333333333331"/>
    <n v="2437.04"/>
    <n v="1555.96"/>
    <x v="1"/>
    <s v="Tier 2"/>
    <x v="1"/>
  </r>
  <r>
    <n v="229"/>
    <s v="February"/>
    <s v="Sunday"/>
    <x v="20"/>
    <x v="8"/>
    <x v="0"/>
    <n v="544756"/>
    <n v="119400"/>
    <n v="32169.9"/>
    <n v="1194"/>
    <n v="24"/>
    <n v="4"/>
    <n v="3924"/>
    <n v="-8.7802262363265039E-3"/>
    <n v="1E-4"/>
    <n v="2.0100502512562814E-4"/>
    <n v="1.6666666666666666E-3"/>
    <n v="981"/>
    <n v="26.942964824120605"/>
    <n v="1340.4125000000001"/>
    <n v="-28245.9"/>
    <n v="8042.4750000000004"/>
    <x v="1"/>
    <s v="Tier 2"/>
    <x v="1"/>
  </r>
  <r>
    <n v="230"/>
    <s v="February"/>
    <s v="Sunday"/>
    <x v="20"/>
    <x v="9"/>
    <x v="2"/>
    <n v="374754"/>
    <n v="300900"/>
    <n v="65006.3"/>
    <n v="3009"/>
    <n v="89"/>
    <n v="17"/>
    <n v="84677"/>
    <n v="3.0259682523078525E-3"/>
    <n v="1E-4"/>
    <n v="2.9577932868062479E-4"/>
    <n v="1.9101123595505617E-3"/>
    <n v="4981"/>
    <n v="21.603954802259889"/>
    <n v="730.40786516853939"/>
    <n v="19670.699999999997"/>
    <n v="3823.9"/>
    <x v="1"/>
    <s v="Tier 2"/>
    <x v="1"/>
  </r>
  <r>
    <n v="231"/>
    <s v="February"/>
    <s v="Sunday"/>
    <x v="20"/>
    <x v="10"/>
    <x v="3"/>
    <n v="39889"/>
    <n v="42080000"/>
    <n v="25023.200000000001"/>
    <n v="4208"/>
    <n v="67"/>
    <n v="10"/>
    <n v="31710"/>
    <n v="2.6722401611304707E-3"/>
    <n v="9.9999999999999995E-7"/>
    <n v="1.5922053231939165E-4"/>
    <n v="1.4925373134328356E-3"/>
    <n v="3171"/>
    <n v="5.9465779467680608"/>
    <n v="373.48059701492537"/>
    <n v="6686.7999999999993"/>
    <n v="2502.3200000000002"/>
    <x v="1"/>
    <s v="Tier 2"/>
    <x v="1"/>
  </r>
  <r>
    <n v="232"/>
    <s v="February"/>
    <s v="Monday"/>
    <x v="21"/>
    <x v="0"/>
    <x v="0"/>
    <n v="349043"/>
    <n v="605386"/>
    <n v="59710"/>
    <n v="4802"/>
    <n v="96"/>
    <n v="12"/>
    <n v="67632"/>
    <n v="1.3267459387037348E-3"/>
    <n v="7.9321292530715941E-5"/>
    <n v="1.9991670137442733E-4"/>
    <n v="1.25E-3"/>
    <n v="5636"/>
    <n v="12.434402332361516"/>
    <n v="621.97916666666663"/>
    <n v="7922"/>
    <n v="4975.833333333333"/>
    <x v="0"/>
    <s v="Tier 1"/>
    <x v="0"/>
  </r>
  <r>
    <n v="233"/>
    <s v="February"/>
    <s v="Monday"/>
    <x v="21"/>
    <x v="1"/>
    <x v="0"/>
    <n v="348934"/>
    <n v="2090371"/>
    <n v="95536.2"/>
    <n v="6606"/>
    <n v="132"/>
    <n v="14"/>
    <n v="69734"/>
    <n v="-2.7007772969827142E-3"/>
    <n v="3.1602045761254825E-5"/>
    <n v="1.9981834695731153E-4"/>
    <n v="1.0606060606060607E-3"/>
    <n v="4981"/>
    <n v="14.462034514078111"/>
    <n v="723.7590909090909"/>
    <n v="-25802.199999999997"/>
    <n v="6824.0142857142855"/>
    <x v="1"/>
    <s v="Tier 2"/>
    <x v="0"/>
  </r>
  <r>
    <n v="234"/>
    <s v="February"/>
    <s v="Monday"/>
    <x v="21"/>
    <x v="2"/>
    <x v="1"/>
    <n v="89459845"/>
    <n v="90500"/>
    <n v="30645.4"/>
    <n v="1810"/>
    <n v="65"/>
    <n v="7"/>
    <n v="59045"/>
    <n v="9.2671657083934281E-3"/>
    <n v="2.0000000000000001E-4"/>
    <n v="3.5911602209944752E-4"/>
    <n v="1.0769230769230769E-3"/>
    <n v="8435"/>
    <n v="16.931160220994474"/>
    <n v="471.46769230769235"/>
    <n v="28399.599999999999"/>
    <n v="4377.9142857142861"/>
    <x v="1"/>
    <s v="Tier 2"/>
    <x v="0"/>
  </r>
  <r>
    <n v="235"/>
    <s v="February"/>
    <s v="Monday"/>
    <x v="21"/>
    <x v="3"/>
    <x v="1"/>
    <n v="127823"/>
    <n v="959600"/>
    <n v="12348.3"/>
    <n v="4798"/>
    <n v="39"/>
    <n v="4"/>
    <n v="11924"/>
    <n v="-3.4361005158604766E-4"/>
    <n v="5.0000000000000002E-5"/>
    <n v="8.1283868278449344E-5"/>
    <n v="1.0256410256410256E-3"/>
    <n v="2981"/>
    <n v="2.5736348478532722"/>
    <n v="316.62307692307689"/>
    <n v="-424.29999999999927"/>
    <n v="3087.0749999999998"/>
    <x v="1"/>
    <s v="Tier 2"/>
    <x v="0"/>
  </r>
  <r>
    <n v="236"/>
    <s v="February"/>
    <s v="Monday"/>
    <x v="21"/>
    <x v="4"/>
    <x v="2"/>
    <n v="10934"/>
    <n v="757387"/>
    <n v="77803.8"/>
    <n v="8997"/>
    <n v="180"/>
    <n v="42"/>
    <n v="359394"/>
    <n v="3.6192345361023497E-2"/>
    <n v="1.1878999771583087E-4"/>
    <n v="2.0006668889629875E-4"/>
    <n v="2.3333333333333335E-3"/>
    <n v="8557"/>
    <n v="8.6477492497499178"/>
    <n v="432.24333333333334"/>
    <n v="281590.2"/>
    <n v="1852.4714285714285"/>
    <x v="1"/>
    <s v="Tier 2"/>
    <x v="0"/>
  </r>
  <r>
    <n v="237"/>
    <s v="February"/>
    <s v="Monday"/>
    <x v="21"/>
    <x v="5"/>
    <x v="0"/>
    <n v="9034945"/>
    <n v="4565811"/>
    <n v="33474.699999999997"/>
    <n v="5397"/>
    <n v="108"/>
    <n v="9"/>
    <n v="53829"/>
    <n v="6.0805025885220798E-3"/>
    <n v="1.1820463002082216E-5"/>
    <n v="2.0011117287381877E-4"/>
    <n v="8.3333333333333328E-4"/>
    <n v="5981"/>
    <n v="6.2024643320363158"/>
    <n v="309.9509259259259"/>
    <n v="20354.300000000003"/>
    <n v="3719.4111111111106"/>
    <x v="0"/>
    <s v="Tier 1"/>
    <x v="0"/>
  </r>
  <r>
    <n v="238"/>
    <s v="February"/>
    <s v="Monday"/>
    <x v="21"/>
    <x v="6"/>
    <x v="0"/>
    <n v="983498"/>
    <n v="2190892"/>
    <n v="19196.599999999999"/>
    <n v="10202"/>
    <n v="124"/>
    <n v="7"/>
    <n v="14602"/>
    <n v="-2.3934446724940871E-3"/>
    <n v="4.656550847782547E-5"/>
    <n v="1.2154479513820821E-4"/>
    <n v="5.6451612903225801E-4"/>
    <n v="2086"/>
    <n v="1.8816506567339737"/>
    <n v="154.81129032258065"/>
    <n v="-4594.5999999999985"/>
    <n v="2742.3714285714282"/>
    <x v="1"/>
    <s v="Tier 2"/>
    <x v="0"/>
  </r>
  <r>
    <n v="239"/>
    <s v="February"/>
    <s v="Monday"/>
    <x v="21"/>
    <x v="7"/>
    <x v="0"/>
    <n v="4387490"/>
    <n v="17821"/>
    <n v="5792.48"/>
    <n v="598"/>
    <n v="12"/>
    <n v="3"/>
    <n v="12168"/>
    <n v="1.1006546418805073E-2"/>
    <n v="3.3555917176364961E-4"/>
    <n v="2.0066889632107025E-4"/>
    <n v="2.5000000000000001E-3"/>
    <n v="4056"/>
    <n v="9.6864214046822728"/>
    <n v="482.70666666666665"/>
    <n v="6375.52"/>
    <n v="1930.8266666666666"/>
    <x v="1"/>
    <s v="Tier 2"/>
    <x v="0"/>
  </r>
  <r>
    <n v="240"/>
    <s v="February"/>
    <s v="Monday"/>
    <x v="21"/>
    <x v="8"/>
    <x v="0"/>
    <n v="544756"/>
    <n v="239600"/>
    <n v="51783.3"/>
    <n v="2396"/>
    <n v="48"/>
    <n v="6"/>
    <n v="5886"/>
    <n v="-8.8633401115803742E-3"/>
    <n v="1E-4"/>
    <n v="2.0033388981636059E-4"/>
    <n v="1.25E-3"/>
    <n v="981"/>
    <n v="21.612395659432387"/>
    <n v="1078.8187500000001"/>
    <n v="-45897.3"/>
    <n v="8630.5500000000011"/>
    <x v="1"/>
    <s v="Tier 2"/>
    <x v="0"/>
  </r>
  <r>
    <n v="241"/>
    <s v="February"/>
    <s v="Monday"/>
    <x v="21"/>
    <x v="9"/>
    <x v="2"/>
    <n v="374754"/>
    <n v="599700"/>
    <n v="137382"/>
    <n v="5997"/>
    <n v="236"/>
    <n v="35"/>
    <n v="158340"/>
    <n v="1.5255273616630999E-3"/>
    <n v="1E-4"/>
    <n v="3.9353009838252463E-4"/>
    <n v="1.4830508474576272E-3"/>
    <n v="4524"/>
    <n v="22.908454227113555"/>
    <n v="582.12711864406776"/>
    <n v="20958"/>
    <n v="3925.2"/>
    <x v="1"/>
    <s v="Tier 2"/>
    <x v="0"/>
  </r>
  <r>
    <n v="242"/>
    <s v="February"/>
    <s v="Monday"/>
    <x v="21"/>
    <x v="10"/>
    <x v="3"/>
    <n v="39889"/>
    <n v="105873774"/>
    <n v="60021.599999999999"/>
    <n v="8409"/>
    <n v="168"/>
    <n v="20"/>
    <n v="80600"/>
    <n v="3.4284990736668138E-3"/>
    <n v="7.9424768592833956E-7"/>
    <n v="1.9978594363182306E-4"/>
    <n v="1.1904761904761904E-3"/>
    <n v="4030"/>
    <n v="7.1377809489832318"/>
    <n v="357.27142857142854"/>
    <n v="20578.400000000001"/>
    <n v="3001.08"/>
    <x v="1"/>
    <s v="Tier 2"/>
    <x v="0"/>
  </r>
  <r>
    <n v="243"/>
    <s v="February"/>
    <s v="Tuesday"/>
    <x v="22"/>
    <x v="0"/>
    <x v="0"/>
    <n v="349043"/>
    <n v="924525"/>
    <n v="9858.2800000000007"/>
    <n v="1203"/>
    <n v="28"/>
    <n v="2"/>
    <n v="9962"/>
    <n v="1.0521105101498368E-4"/>
    <n v="1.3012087288066845E-5"/>
    <n v="2.3275145469659188E-4"/>
    <n v="7.1428571428571429E-4"/>
    <n v="4981"/>
    <n v="8.1947464671654195"/>
    <n v="352.0814285714286"/>
    <n v="103.71999999999935"/>
    <n v="4929.1400000000003"/>
    <x v="0"/>
    <s v="Tier 1"/>
    <x v="0"/>
  </r>
  <r>
    <n v="244"/>
    <s v="February"/>
    <s v="Tuesday"/>
    <x v="22"/>
    <x v="1"/>
    <x v="0"/>
    <n v="348934"/>
    <n v="475992"/>
    <n v="19350"/>
    <n v="1641"/>
    <n v="37"/>
    <n v="3"/>
    <n v="12225"/>
    <n v="-3.6821705426356589E-3"/>
    <n v="3.4475369333938383E-5"/>
    <n v="2.2547227300426568E-4"/>
    <n v="8.1081081081081088E-4"/>
    <n v="4075"/>
    <n v="11.791590493601463"/>
    <n v="522.97297297297303"/>
    <n v="-7125"/>
    <n v="6450"/>
    <x v="1"/>
    <s v="Tier 2"/>
    <x v="0"/>
  </r>
  <r>
    <n v="245"/>
    <s v="February"/>
    <s v="Tuesday"/>
    <x v="22"/>
    <x v="2"/>
    <x v="1"/>
    <n v="89459845"/>
    <n v="22175"/>
    <n v="5409.21"/>
    <n v="442"/>
    <n v="9"/>
    <n v="2"/>
    <n v="15050"/>
    <n v="1.7822916839982179E-2"/>
    <n v="1.9932356257046222E-4"/>
    <n v="2.0361990950226245E-4"/>
    <n v="2.2222222222222222E-3"/>
    <n v="7525"/>
    <n v="12.238031674208145"/>
    <n v="601.02333333333331"/>
    <n v="9640.7900000000009"/>
    <n v="2704.605"/>
    <x v="1"/>
    <s v="Tier 2"/>
    <x v="0"/>
  </r>
  <r>
    <n v="246"/>
    <s v="February"/>
    <s v="Tuesday"/>
    <x v="22"/>
    <x v="3"/>
    <x v="1"/>
    <n v="127823"/>
    <n v="241000"/>
    <n v="12581.6"/>
    <n v="1205"/>
    <n v="24"/>
    <n v="3"/>
    <n v="8943"/>
    <n v="-2.892001017358683E-3"/>
    <n v="5.0000000000000002E-5"/>
    <n v="1.9917012448132778E-4"/>
    <n v="1.25E-3"/>
    <n v="2981"/>
    <n v="10.441161825726141"/>
    <n v="524.23333333333335"/>
    <n v="-3638.6000000000004"/>
    <n v="4193.8666666666668"/>
    <x v="1"/>
    <s v="Tier 2"/>
    <x v="0"/>
  </r>
  <r>
    <n v="247"/>
    <s v="February"/>
    <s v="Tuesday"/>
    <x v="22"/>
    <x v="4"/>
    <x v="2"/>
    <n v="10934"/>
    <n v="297609"/>
    <n v="16343"/>
    <n v="2246"/>
    <n v="45"/>
    <n v="8"/>
    <n v="63848"/>
    <n v="2.906749066878786E-2"/>
    <n v="7.5468147804669887E-5"/>
    <n v="2.0035618878005344E-4"/>
    <n v="1.7777777777777779E-3"/>
    <n v="7981"/>
    <n v="7.2764915405164734"/>
    <n v="363.17777777777781"/>
    <n v="47505"/>
    <n v="2042.875"/>
    <x v="1"/>
    <s v="Tier 2"/>
    <x v="0"/>
  </r>
  <r>
    <n v="248"/>
    <s v="February"/>
    <s v="Tuesday"/>
    <x v="22"/>
    <x v="5"/>
    <x v="0"/>
    <n v="9034945"/>
    <n v="536236"/>
    <n v="557.25"/>
    <n v="1349"/>
    <n v="1"/>
    <n v="0"/>
    <n v="0"/>
    <n v="-0.01"/>
    <n v="2.5156833931328741E-5"/>
    <n v="7.412898443291327E-6"/>
    <n v="0"/>
    <n v="0"/>
    <n v="0.41308376575240918"/>
    <n v="557.25"/>
    <n v="-557.25"/>
    <n v="0"/>
    <x v="0"/>
    <s v="Tier 1"/>
    <x v="0"/>
  </r>
  <r>
    <n v="249"/>
    <s v="February"/>
    <s v="Tuesday"/>
    <x v="22"/>
    <x v="6"/>
    <x v="0"/>
    <n v="983498"/>
    <n v="512000"/>
    <n v="4285.4399999999996"/>
    <n v="2560"/>
    <n v="51"/>
    <n v="2"/>
    <n v="2934"/>
    <n v="-3.1535618279569886E-3"/>
    <n v="5.0000000000000002E-5"/>
    <n v="1.9921874999999999E-4"/>
    <n v="3.9215686274509802E-4"/>
    <n v="1467"/>
    <n v="1.6739999999999999"/>
    <n v="84.028235294117636"/>
    <n v="-1351.4399999999996"/>
    <n v="2142.7199999999998"/>
    <x v="1"/>
    <s v="Tier 2"/>
    <x v="0"/>
  </r>
  <r>
    <n v="250"/>
    <s v="February"/>
    <s v="Tuesday"/>
    <x v="22"/>
    <x v="7"/>
    <x v="0"/>
    <n v="4387490"/>
    <n v="4908"/>
    <n v="1238.0899999999999"/>
    <n v="155"/>
    <n v="3"/>
    <n v="1"/>
    <n v="5265"/>
    <n v="3.2525179914222713E-2"/>
    <n v="3.1581092094539528E-4"/>
    <n v="1.9354838709677422E-4"/>
    <n v="3.3333333333333331E-3"/>
    <n v="5265"/>
    <n v="7.9876774193548385"/>
    <n v="412.69666666666666"/>
    <n v="4026.91"/>
    <n v="1238.0899999999999"/>
    <x v="1"/>
    <s v="Tier 2"/>
    <x v="0"/>
  </r>
  <r>
    <n v="251"/>
    <s v="February"/>
    <s v="Tuesday"/>
    <x v="22"/>
    <x v="8"/>
    <x v="0"/>
    <n v="544756"/>
    <n v="60800"/>
    <n v="16078.6"/>
    <n v="608"/>
    <n v="12"/>
    <n v="2"/>
    <n v="2720"/>
    <n v="-8.3083104250370049E-3"/>
    <n v="1E-4"/>
    <n v="1.9736842105263157E-4"/>
    <n v="1.6666666666666666E-3"/>
    <n v="1360"/>
    <n v="26.445065789473684"/>
    <n v="1339.8833333333334"/>
    <n v="-13358.6"/>
    <n v="8039.3"/>
    <x v="1"/>
    <s v="Tier 2"/>
    <x v="0"/>
  </r>
  <r>
    <n v="252"/>
    <s v="February"/>
    <s v="Tuesday"/>
    <x v="22"/>
    <x v="9"/>
    <x v="2"/>
    <n v="374754"/>
    <n v="117218"/>
    <n v="15435"/>
    <n v="1500"/>
    <n v="31"/>
    <n v="4"/>
    <n v="17816"/>
    <n v="1.5425979915775834E-3"/>
    <n v="1.2796669453496903E-4"/>
    <n v="2.0666666666666666E-4"/>
    <n v="1.2903225806451613E-3"/>
    <n v="4454"/>
    <n v="10.29"/>
    <n v="497.90322580645159"/>
    <n v="2381"/>
    <n v="3858.75"/>
    <x v="1"/>
    <s v="Tier 2"/>
    <x v="0"/>
  </r>
  <r>
    <n v="253"/>
    <s v="February"/>
    <s v="Tuesday"/>
    <x v="22"/>
    <x v="10"/>
    <x v="3"/>
    <n v="39889"/>
    <n v="654544"/>
    <n v="16706.400000000001"/>
    <n v="2099"/>
    <n v="42"/>
    <n v="6"/>
    <n v="23886"/>
    <n v="4.297514724895847E-3"/>
    <n v="3.2068126818059599E-5"/>
    <n v="2.0009528346831825E-4"/>
    <n v="1.4285714285714286E-3"/>
    <n v="3981"/>
    <n v="7.9592186755597911"/>
    <n v="397.7714285714286"/>
    <n v="7179.5999999999985"/>
    <n v="2784.4"/>
    <x v="1"/>
    <s v="Tier 2"/>
    <x v="0"/>
  </r>
  <r>
    <n v="254"/>
    <s v="February"/>
    <s v="Wednesday"/>
    <x v="23"/>
    <x v="0"/>
    <x v="0"/>
    <n v="349043"/>
    <n v="479596"/>
    <n v="94564.2"/>
    <n v="2408"/>
    <n v="93"/>
    <n v="15"/>
    <n v="81825"/>
    <n v="-1.3471482865608758E-3"/>
    <n v="5.020892584592032E-5"/>
    <n v="3.8621262458471764E-4"/>
    <n v="1.6129032258064516E-3"/>
    <n v="5455"/>
    <n v="39.270847176079734"/>
    <n v="1016.8193548387096"/>
    <n v="-12739.199999999997"/>
    <n v="6304.28"/>
    <x v="0"/>
    <s v="Tier 1"/>
    <x v="0"/>
  </r>
  <r>
    <n v="255"/>
    <s v="February"/>
    <s v="Wednesday"/>
    <x v="23"/>
    <x v="1"/>
    <x v="0"/>
    <n v="348934"/>
    <n v="395127"/>
    <n v="44347.199999999997"/>
    <n v="3297"/>
    <n v="66"/>
    <n v="7"/>
    <n v="34867"/>
    <n v="-2.1377223364722007E-3"/>
    <n v="8.3441526395310888E-5"/>
    <n v="2.0018198362147408E-4"/>
    <n v="1.0606060606060607E-3"/>
    <n v="4981"/>
    <n v="13.450773430391264"/>
    <n v="671.92727272727268"/>
    <n v="-9480.1999999999971"/>
    <n v="6335.3142857142857"/>
    <x v="1"/>
    <s v="Tier 2"/>
    <x v="0"/>
  </r>
  <r>
    <n v="256"/>
    <s v="February"/>
    <s v="Wednesday"/>
    <x v="23"/>
    <x v="2"/>
    <x v="1"/>
    <n v="89459845"/>
    <n v="45150"/>
    <n v="14306.2"/>
    <n v="903"/>
    <n v="18"/>
    <n v="3"/>
    <n v="23943"/>
    <n v="6.73610043198054E-3"/>
    <n v="2.0000000000000001E-4"/>
    <n v="1.9933554817275746E-4"/>
    <n v="1.6666666666666666E-3"/>
    <n v="7981"/>
    <n v="15.842967884828351"/>
    <n v="794.78888888888889"/>
    <n v="9636.7999999999993"/>
    <n v="4768.7333333333336"/>
    <x v="1"/>
    <s v="Tier 2"/>
    <x v="0"/>
  </r>
  <r>
    <n v="257"/>
    <s v="February"/>
    <s v="Wednesday"/>
    <x v="23"/>
    <x v="3"/>
    <x v="1"/>
    <n v="127823"/>
    <n v="291441"/>
    <n v="22357.599999999999"/>
    <n v="2408"/>
    <n v="52"/>
    <n v="5"/>
    <n v="19060"/>
    <n v="-1.4749346978208747E-3"/>
    <n v="8.2623927312903804E-5"/>
    <n v="2.159468438538206E-4"/>
    <n v="9.6153846153846159E-4"/>
    <n v="3812"/>
    <n v="9.2847176079734215"/>
    <n v="429.95384615384614"/>
    <n v="-3297.5999999999985"/>
    <n v="4471.5199999999995"/>
    <x v="1"/>
    <s v="Tier 2"/>
    <x v="0"/>
  </r>
  <r>
    <n v="258"/>
    <s v="February"/>
    <s v="Wednesday"/>
    <x v="23"/>
    <x v="4"/>
    <x v="2"/>
    <n v="10934"/>
    <n v="409320"/>
    <n v="22944.3"/>
    <n v="4508"/>
    <n v="65"/>
    <n v="14"/>
    <n v="111734"/>
    <n v="3.8697933691592246E-2"/>
    <n v="1.1013388058242939E-4"/>
    <n v="1.4418811002661936E-4"/>
    <n v="2.1538461538461538E-3"/>
    <n v="7981"/>
    <n v="5.0896850044365571"/>
    <n v="352.98923076923074"/>
    <n v="88789.7"/>
    <n v="1638.8785714285714"/>
    <x v="1"/>
    <s v="Tier 2"/>
    <x v="0"/>
  </r>
  <r>
    <n v="259"/>
    <s v="February"/>
    <s v="Wednesday"/>
    <x v="23"/>
    <x v="5"/>
    <x v="0"/>
    <n v="9034945"/>
    <n v="869482"/>
    <n v="23908.400000000001"/>
    <n v="2703"/>
    <n v="42"/>
    <n v="7"/>
    <n v="36456"/>
    <n v="5.2481972863094133E-3"/>
    <n v="3.108747507136433E-5"/>
    <n v="1.5538290788013318E-4"/>
    <n v="1.6666666666666666E-3"/>
    <n v="5208"/>
    <n v="8.845135035146134"/>
    <n v="569.24761904761908"/>
    <n v="12547.599999999999"/>
    <n v="3415.4857142857145"/>
    <x v="0"/>
    <s v="Tier 1"/>
    <x v="0"/>
  </r>
  <r>
    <n v="260"/>
    <s v="February"/>
    <s v="Wednesday"/>
    <x v="23"/>
    <x v="6"/>
    <x v="0"/>
    <n v="983498"/>
    <n v="624157"/>
    <n v="18675"/>
    <n v="5098"/>
    <n v="122"/>
    <n v="6"/>
    <n v="10590"/>
    <n v="-4.3293172690763056E-3"/>
    <n v="8.1678167512340641E-5"/>
    <n v="2.3930953315025501E-4"/>
    <n v="4.9180327868852459E-4"/>
    <n v="1765"/>
    <n v="3.6632012553942723"/>
    <n v="153.07377049180329"/>
    <n v="-8085"/>
    <n v="3112.5"/>
    <x v="1"/>
    <s v="Tier 2"/>
    <x v="0"/>
  </r>
  <r>
    <n v="261"/>
    <s v="February"/>
    <s v="Wednesday"/>
    <x v="23"/>
    <x v="7"/>
    <x v="0"/>
    <n v="4387490"/>
    <n v="8966"/>
    <n v="2857.1"/>
    <n v="297"/>
    <n v="6"/>
    <n v="1"/>
    <n v="4981"/>
    <n v="7.4337615064225971E-3"/>
    <n v="3.3125139415569931E-4"/>
    <n v="2.0202020202020205E-4"/>
    <n v="1.6666666666666666E-3"/>
    <n v="4981"/>
    <n v="9.619865319865319"/>
    <n v="476.18333333333334"/>
    <n v="2123.9"/>
    <n v="2857.1"/>
    <x v="1"/>
    <s v="Tier 2"/>
    <x v="0"/>
  </r>
  <r>
    <n v="262"/>
    <s v="February"/>
    <s v="Wednesday"/>
    <x v="23"/>
    <x v="8"/>
    <x v="0"/>
    <n v="544756"/>
    <n v="148794"/>
    <n v="48796.6"/>
    <n v="1196"/>
    <n v="38"/>
    <n v="6"/>
    <n v="8178"/>
    <n v="-8.3240635618055357E-3"/>
    <n v="8.037958519832789E-5"/>
    <n v="3.1772575250836122E-4"/>
    <n v="1.5789473684210526E-3"/>
    <n v="1363"/>
    <n v="40.799832775919732"/>
    <n v="1284.121052631579"/>
    <n v="-40618.6"/>
    <n v="8132.7666666666664"/>
    <x v="1"/>
    <s v="Tier 2"/>
    <x v="0"/>
  </r>
  <r>
    <n v="263"/>
    <s v="February"/>
    <s v="Wednesday"/>
    <x v="23"/>
    <x v="9"/>
    <x v="2"/>
    <n v="374754"/>
    <n v="355802"/>
    <n v="42311.5"/>
    <n v="2990"/>
    <n v="60"/>
    <n v="9"/>
    <n v="44829"/>
    <n v="5.9499190527397992E-4"/>
    <n v="8.4035502892057943E-5"/>
    <n v="2.0066889632107025E-4"/>
    <n v="1.5E-3"/>
    <n v="4981"/>
    <n v="14.151003344481605"/>
    <n v="705.19166666666672"/>
    <n v="2517.5"/>
    <n v="4701.2777777777774"/>
    <x v="1"/>
    <s v="Tier 2"/>
    <x v="0"/>
  </r>
  <r>
    <n v="264"/>
    <s v="February"/>
    <s v="Wednesday"/>
    <x v="23"/>
    <x v="10"/>
    <x v="3"/>
    <n v="39889"/>
    <n v="2770687"/>
    <n v="34169.9"/>
    <n v="4205"/>
    <n v="84"/>
    <n v="16"/>
    <n v="63696"/>
    <n v="8.6409676352579307E-3"/>
    <n v="1.5176741364145428E-5"/>
    <n v="1.9976218787158144E-4"/>
    <n v="1.9047619047619048E-3"/>
    <n v="3981"/>
    <n v="8.1260166468489903"/>
    <n v="406.78452380952382"/>
    <n v="29526.1"/>
    <n v="2135.6187500000001"/>
    <x v="1"/>
    <s v="Tier 2"/>
    <x v="0"/>
  </r>
  <r>
    <n v="265"/>
    <s v="February"/>
    <s v="Thursday"/>
    <x v="24"/>
    <x v="0"/>
    <x v="0"/>
    <n v="349043"/>
    <n v="94600"/>
    <n v="11230.2"/>
    <n v="473"/>
    <n v="15"/>
    <n v="2"/>
    <n v="10104"/>
    <n v="-1.0028316503713209E-3"/>
    <n v="5.0000000000000002E-5"/>
    <n v="3.1712473572938687E-4"/>
    <n v="1.3333333333333333E-3"/>
    <n v="5052"/>
    <n v="23.742494714587739"/>
    <n v="748.68000000000006"/>
    <n v="-1126.2000000000007"/>
    <n v="5615.1"/>
    <x v="0"/>
    <s v="Tier 1"/>
    <x v="0"/>
  </r>
  <r>
    <n v="266"/>
    <s v="February"/>
    <s v="Thursday"/>
    <x v="24"/>
    <x v="1"/>
    <x v="0"/>
    <n v="348934"/>
    <n v="131400"/>
    <n v="10357"/>
    <n v="657"/>
    <n v="13"/>
    <n v="2"/>
    <n v="9962"/>
    <n v="-3.8138457082166648E-4"/>
    <n v="5.0000000000000002E-5"/>
    <n v="1.9786910197869102E-4"/>
    <n v="1.5384615384615385E-3"/>
    <n v="4981"/>
    <n v="15.764079147640791"/>
    <n v="796.69230769230774"/>
    <n v="-395"/>
    <n v="5178.5"/>
    <x v="1"/>
    <s v="Tier 2"/>
    <x v="0"/>
  </r>
  <r>
    <n v="267"/>
    <s v="February"/>
    <s v="Thursday"/>
    <x v="24"/>
    <x v="2"/>
    <x v="1"/>
    <n v="89459845"/>
    <n v="8750"/>
    <n v="1078.73"/>
    <n v="175"/>
    <n v="1"/>
    <n v="0"/>
    <n v="0"/>
    <n v="-0.01"/>
    <n v="2.0000000000000001E-4"/>
    <n v="5.7142857142857142E-5"/>
    <n v="0"/>
    <n v="0"/>
    <n v="6.1641714285714286"/>
    <n v="1078.73"/>
    <n v="-1078.73"/>
    <n v="0"/>
    <x v="1"/>
    <s v="Tier 2"/>
    <x v="0"/>
  </r>
  <r>
    <n v="268"/>
    <s v="February"/>
    <s v="Thursday"/>
    <x v="24"/>
    <x v="3"/>
    <x v="1"/>
    <n v="127823"/>
    <n v="61867"/>
    <n v="9472.2199999999993"/>
    <n v="487"/>
    <n v="19"/>
    <n v="2"/>
    <n v="5730"/>
    <n v="-3.9507317186467375E-3"/>
    <n v="7.8717248290688084E-5"/>
    <n v="3.9014373716632448E-4"/>
    <n v="1.0526315789473684E-3"/>
    <n v="2865"/>
    <n v="19.450143737166322"/>
    <n v="498.53789473684208"/>
    <n v="-3742.2199999999993"/>
    <n v="4736.1099999999997"/>
    <x v="1"/>
    <s v="Tier 2"/>
    <x v="0"/>
  </r>
  <r>
    <n v="269"/>
    <s v="February"/>
    <s v="Thursday"/>
    <x v="24"/>
    <x v="4"/>
    <x v="2"/>
    <n v="10934"/>
    <n v="94976"/>
    <n v="9034.91"/>
    <n v="904"/>
    <n v="22"/>
    <n v="5"/>
    <n v="38030"/>
    <n v="3.2092284261824415E-2"/>
    <n v="9.5181940700808613E-5"/>
    <n v="2.4336283185840709E-4"/>
    <n v="2.2727272727272726E-3"/>
    <n v="7606"/>
    <n v="9.9943694690265481"/>
    <n v="410.67772727272728"/>
    <n v="28995.09"/>
    <n v="1806.982"/>
    <x v="1"/>
    <s v="Tier 2"/>
    <x v="0"/>
  </r>
  <r>
    <n v="270"/>
    <s v="February"/>
    <s v="Thursday"/>
    <x v="24"/>
    <x v="5"/>
    <x v="0"/>
    <n v="9034945"/>
    <n v="106000"/>
    <n v="2304.0100000000002"/>
    <n v="530"/>
    <n v="6"/>
    <n v="1"/>
    <n v="5981"/>
    <n v="1.5959088719232989E-2"/>
    <n v="5.0000000000000002E-5"/>
    <n v="1.1320754716981131E-4"/>
    <n v="1.6666666666666666E-3"/>
    <n v="5981"/>
    <n v="4.3471886792452832"/>
    <n v="384.00166666666672"/>
    <n v="3676.99"/>
    <n v="2304.0100000000002"/>
    <x v="0"/>
    <s v="Tier 1"/>
    <x v="0"/>
  </r>
  <r>
    <n v="271"/>
    <s v="February"/>
    <s v="Thursday"/>
    <x v="24"/>
    <x v="6"/>
    <x v="0"/>
    <n v="983498"/>
    <n v="115468"/>
    <n v="2059.0300000000002"/>
    <n v="1015"/>
    <n v="20"/>
    <n v="1"/>
    <n v="1981"/>
    <n v="-3.7896485238194777E-4"/>
    <n v="8.7903141996050851E-5"/>
    <n v="1.9704433497536947E-4"/>
    <n v="5.0000000000000001E-4"/>
    <n v="1981"/>
    <n v="2.0286009852216749"/>
    <n v="102.95150000000001"/>
    <n v="-78.0300000000002"/>
    <n v="2059.0300000000002"/>
    <x v="1"/>
    <s v="Tier 2"/>
    <x v="0"/>
  </r>
  <r>
    <n v="272"/>
    <s v="February"/>
    <s v="Thursday"/>
    <x v="24"/>
    <x v="7"/>
    <x v="0"/>
    <n v="4387490"/>
    <n v="2214"/>
    <n v="1487.47"/>
    <n v="66"/>
    <n v="3"/>
    <n v="1"/>
    <n v="4461"/>
    <n v="1.9990520817226565E-2"/>
    <n v="2.981029810298103E-4"/>
    <n v="4.5454545454545455E-4"/>
    <n v="3.3333333333333331E-3"/>
    <n v="4461"/>
    <n v="22.537424242424244"/>
    <n v="495.82333333333332"/>
    <n v="2973.5299999999997"/>
    <n v="1487.47"/>
    <x v="1"/>
    <s v="Tier 2"/>
    <x v="0"/>
  </r>
  <r>
    <n v="273"/>
    <s v="February"/>
    <s v="Thursday"/>
    <x v="24"/>
    <x v="8"/>
    <x v="0"/>
    <n v="544756"/>
    <n v="25000"/>
    <n v="5871.29"/>
    <n v="250"/>
    <n v="5"/>
    <n v="1"/>
    <n v="981"/>
    <n v="-8.3291576467863122E-3"/>
    <n v="1E-4"/>
    <n v="2.0000000000000001E-4"/>
    <n v="2E-3"/>
    <n v="981"/>
    <n v="23.48516"/>
    <n v="1174.258"/>
    <n v="-4890.29"/>
    <n v="5871.29"/>
    <x v="1"/>
    <s v="Tier 2"/>
    <x v="0"/>
  </r>
  <r>
    <n v="274"/>
    <s v="February"/>
    <s v="Thursday"/>
    <x v="24"/>
    <x v="9"/>
    <x v="2"/>
    <n v="374754"/>
    <n v="46753"/>
    <n v="6227.53"/>
    <n v="591"/>
    <n v="12"/>
    <n v="2"/>
    <n v="10130"/>
    <n v="6.2664812534022315E-3"/>
    <n v="1.2640900049194705E-4"/>
    <n v="2.0304568527918781E-4"/>
    <n v="1.6666666666666666E-3"/>
    <n v="5065"/>
    <n v="10.537275803722503"/>
    <n v="518.96083333333331"/>
    <n v="3902.4700000000003"/>
    <n v="3113.7649999999999"/>
    <x v="1"/>
    <s v="Tier 2"/>
    <x v="0"/>
  </r>
  <r>
    <n v="275"/>
    <s v="February"/>
    <s v="Thursday"/>
    <x v="24"/>
    <x v="10"/>
    <x v="3"/>
    <n v="39889"/>
    <n v="2885291"/>
    <n v="7583.66"/>
    <n v="848"/>
    <n v="17"/>
    <n v="3"/>
    <n v="11943"/>
    <n v="5.7483325992990194E-3"/>
    <n v="2.9390449698141364E-6"/>
    <n v="2.0047169811320754E-4"/>
    <n v="1.7647058823529412E-3"/>
    <n v="3981"/>
    <n v="8.9429952830188686"/>
    <n v="446.0976470588235"/>
    <n v="4359.34"/>
    <n v="2527.8866666666668"/>
    <x v="1"/>
    <s v="Tier 2"/>
    <x v="0"/>
  </r>
  <r>
    <n v="276"/>
    <s v="February"/>
    <s v="Friday"/>
    <x v="25"/>
    <x v="0"/>
    <x v="0"/>
    <n v="349043"/>
    <n v="168408"/>
    <n v="19887.7"/>
    <n v="1207"/>
    <n v="39"/>
    <n v="4"/>
    <n v="22488"/>
    <n v="1.3074915651382509E-3"/>
    <n v="7.167117951641253E-5"/>
    <n v="3.231151615575808E-4"/>
    <n v="1.0256410256410256E-3"/>
    <n v="5622"/>
    <n v="16.476967688483846"/>
    <n v="509.94102564102565"/>
    <n v="2600.2999999999993"/>
    <n v="4971.9250000000002"/>
    <x v="0"/>
    <s v="Tier 1"/>
    <x v="0"/>
  </r>
  <r>
    <n v="277"/>
    <s v="February"/>
    <s v="Friday"/>
    <x v="25"/>
    <x v="1"/>
    <x v="0"/>
    <n v="348934"/>
    <n v="438858"/>
    <n v="17935.400000000001"/>
    <n v="1657"/>
    <n v="33"/>
    <n v="3"/>
    <n v="15345"/>
    <n v="-1.444294523679428E-3"/>
    <n v="3.7757087714021394E-5"/>
    <n v="1.9915509957754978E-4"/>
    <n v="9.0909090909090909E-4"/>
    <n v="5115"/>
    <n v="10.824019312009657"/>
    <n v="543.4969696969697"/>
    <n v="-2590.4000000000015"/>
    <n v="5978.4666666666672"/>
    <x v="1"/>
    <s v="Tier 2"/>
    <x v="0"/>
  </r>
  <r>
    <n v="278"/>
    <s v="February"/>
    <s v="Friday"/>
    <x v="25"/>
    <x v="2"/>
    <x v="1"/>
    <n v="89459845"/>
    <n v="22450"/>
    <n v="1545.74"/>
    <n v="449"/>
    <n v="2"/>
    <n v="0"/>
    <n v="0"/>
    <n v="-0.01"/>
    <n v="2.0000000000000001E-4"/>
    <n v="4.4543429844097995E-5"/>
    <n v="0"/>
    <n v="0"/>
    <n v="3.4426280623608019"/>
    <n v="772.87"/>
    <n v="-1545.74"/>
    <n v="0"/>
    <x v="1"/>
    <s v="Tier 2"/>
    <x v="0"/>
  </r>
  <r>
    <n v="279"/>
    <s v="February"/>
    <s v="Friday"/>
    <x v="25"/>
    <x v="3"/>
    <x v="1"/>
    <n v="127823"/>
    <n v="240600"/>
    <n v="4453.1000000000004"/>
    <n v="1203"/>
    <n v="11"/>
    <n v="1"/>
    <n v="2283"/>
    <n v="-4.8732343760526384E-3"/>
    <n v="5.0000000000000002E-5"/>
    <n v="9.1438071487946802E-5"/>
    <n v="9.0909090909090909E-4"/>
    <n v="2283"/>
    <n v="3.7016625103906904"/>
    <n v="404.82727272727277"/>
    <n v="-2170.1000000000004"/>
    <n v="4453.1000000000004"/>
    <x v="1"/>
    <s v="Tier 2"/>
    <x v="0"/>
  </r>
  <r>
    <n v="280"/>
    <s v="February"/>
    <s v="Friday"/>
    <x v="25"/>
    <x v="4"/>
    <x v="2"/>
    <n v="10934"/>
    <n v="195016"/>
    <n v="38804.199999999997"/>
    <n v="2247"/>
    <n v="82"/>
    <n v="16"/>
    <n v="127696"/>
    <n v="2.2907778024028328E-2"/>
    <n v="1.1522131517413955E-4"/>
    <n v="3.6493101913662662E-4"/>
    <n v="1.9512195121951219E-3"/>
    <n v="7981"/>
    <n v="17.269336893635959"/>
    <n v="473.22195121951216"/>
    <n v="88891.8"/>
    <n v="2425.2624999999998"/>
    <x v="1"/>
    <s v="Tier 2"/>
    <x v="0"/>
  </r>
  <r>
    <n v="281"/>
    <s v="February"/>
    <s v="Friday"/>
    <x v="25"/>
    <x v="5"/>
    <x v="0"/>
    <n v="9034945"/>
    <n v="174375"/>
    <n v="12592.4"/>
    <n v="1342"/>
    <n v="27"/>
    <n v="4"/>
    <n v="26556"/>
    <n v="1.1088910771576508E-2"/>
    <n v="7.6960573476702508E-5"/>
    <n v="2.0119225037257824E-4"/>
    <n v="1.4814814814814814E-3"/>
    <n v="6639"/>
    <n v="9.3833084947839041"/>
    <n v="466.38518518518515"/>
    <n v="13963.6"/>
    <n v="3148.1"/>
    <x v="0"/>
    <s v="Tier 1"/>
    <x v="0"/>
  </r>
  <r>
    <n v="282"/>
    <s v="February"/>
    <s v="Friday"/>
    <x v="25"/>
    <x v="6"/>
    <x v="0"/>
    <n v="983498"/>
    <n v="508600"/>
    <n v="2403.54"/>
    <n v="2543"/>
    <n v="73"/>
    <n v="1"/>
    <n v="1981"/>
    <n v="-1.7579902976443079E-3"/>
    <n v="5.0000000000000002E-5"/>
    <n v="2.8706252457727093E-4"/>
    <n v="1.36986301369863E-4"/>
    <n v="1981"/>
    <n v="0.94515926071569012"/>
    <n v="32.925205479452053"/>
    <n v="-422.53999999999996"/>
    <n v="2403.54"/>
    <x v="1"/>
    <s v="Tier 2"/>
    <x v="0"/>
  </r>
  <r>
    <n v="283"/>
    <s v="February"/>
    <s v="Friday"/>
    <x v="25"/>
    <x v="7"/>
    <x v="0"/>
    <n v="4387490"/>
    <n v="4906"/>
    <n v="1071.1600000000001"/>
    <n v="143"/>
    <n v="3"/>
    <n v="1"/>
    <n v="4981"/>
    <n v="3.65009895813884E-2"/>
    <n v="2.9147982062780272E-4"/>
    <n v="2.0979020979020979E-4"/>
    <n v="3.3333333333333331E-3"/>
    <n v="4981"/>
    <n v="7.490629370629371"/>
    <n v="357.05333333333334"/>
    <n v="3909.84"/>
    <n v="1071.1600000000001"/>
    <x v="1"/>
    <s v="Tier 2"/>
    <x v="0"/>
  </r>
  <r>
    <n v="284"/>
    <s v="February"/>
    <s v="Friday"/>
    <x v="25"/>
    <x v="8"/>
    <x v="0"/>
    <n v="544756"/>
    <n v="55269"/>
    <n v="315.92"/>
    <n v="610"/>
    <n v="0"/>
    <n v="0"/>
    <n v="0"/>
    <n v="-0.01"/>
    <n v="1.1036928477084804E-4"/>
    <n v="0"/>
    <n v="0"/>
    <n v="0"/>
    <n v="0.51790163934426237"/>
    <n v="0"/>
    <n v="-315.92"/>
    <n v="0"/>
    <x v="1"/>
    <s v="Tier 2"/>
    <x v="0"/>
  </r>
  <r>
    <n v="285"/>
    <s v="February"/>
    <s v="Friday"/>
    <x v="25"/>
    <x v="9"/>
    <x v="2"/>
    <n v="374754"/>
    <n v="192489"/>
    <n v="15596"/>
    <n v="1497"/>
    <n v="34"/>
    <n v="5"/>
    <n v="25205"/>
    <n v="6.1611951782508338E-3"/>
    <n v="7.7770677804965484E-5"/>
    <n v="2.2712090848363395E-4"/>
    <n v="1.4705882352941176E-3"/>
    <n v="5041"/>
    <n v="10.41816967267869"/>
    <n v="458.70588235294116"/>
    <n v="9609"/>
    <n v="3119.2"/>
    <x v="1"/>
    <s v="Tier 2"/>
    <x v="0"/>
  </r>
  <r>
    <n v="286"/>
    <s v="February"/>
    <s v="Friday"/>
    <x v="25"/>
    <x v="10"/>
    <x v="3"/>
    <n v="39889"/>
    <n v="20930000"/>
    <n v="8087.73"/>
    <n v="2093"/>
    <n v="22"/>
    <n v="3"/>
    <n v="12213"/>
    <n v="5.1006524698524814E-3"/>
    <n v="9.9999999999999995E-7"/>
    <n v="1.0511227902532251E-4"/>
    <n v="1.3636363636363635E-3"/>
    <n v="4071"/>
    <n v="3.8641806020066887"/>
    <n v="367.62409090909091"/>
    <n v="4125.2700000000004"/>
    <n v="2695.91"/>
    <x v="1"/>
    <s v="Tier 2"/>
    <x v="0"/>
  </r>
  <r>
    <n v="287"/>
    <s v="February"/>
    <s v="Saturday"/>
    <x v="26"/>
    <x v="0"/>
    <x v="0"/>
    <n v="349043"/>
    <n v="213771"/>
    <n v="5003.33"/>
    <n v="241"/>
    <n v="9"/>
    <n v="1"/>
    <n v="4223"/>
    <n v="-1.5596212922193817E-3"/>
    <n v="1.1273746205051199E-5"/>
    <n v="3.7344398340248964E-4"/>
    <n v="1.1111111111111111E-3"/>
    <n v="4223"/>
    <n v="20.760705394190872"/>
    <n v="555.92555555555555"/>
    <n v="-780.32999999999993"/>
    <n v="5003.33"/>
    <x v="0"/>
    <s v="Tier 1"/>
    <x v="1"/>
  </r>
  <r>
    <n v="288"/>
    <s v="February"/>
    <s v="Saturday"/>
    <x v="26"/>
    <x v="1"/>
    <x v="0"/>
    <n v="348934"/>
    <n v="66400"/>
    <n v="3235.77"/>
    <n v="332"/>
    <n v="13"/>
    <n v="0"/>
    <n v="0"/>
    <n v="-0.01"/>
    <n v="5.0000000000000002E-5"/>
    <n v="3.9156626506024099E-4"/>
    <n v="0"/>
    <n v="0"/>
    <n v="9.7462951807228908"/>
    <n v="248.90538461538461"/>
    <n v="-3235.77"/>
    <n v="0"/>
    <x v="1"/>
    <s v="Tier 2"/>
    <x v="1"/>
  </r>
  <r>
    <n v="289"/>
    <s v="February"/>
    <s v="Saturday"/>
    <x v="26"/>
    <x v="2"/>
    <x v="1"/>
    <n v="89459845"/>
    <n v="4662"/>
    <n v="1754.25"/>
    <n v="83"/>
    <n v="2"/>
    <n v="0"/>
    <n v="0"/>
    <n v="-0.01"/>
    <n v="1.7803517803517802E-4"/>
    <n v="2.4096385542168676E-4"/>
    <n v="0"/>
    <n v="0"/>
    <n v="21.1355421686747"/>
    <n v="877.125"/>
    <n v="-1754.25"/>
    <n v="0"/>
    <x v="1"/>
    <s v="Tier 2"/>
    <x v="1"/>
  </r>
  <r>
    <n v="290"/>
    <s v="February"/>
    <s v="Saturday"/>
    <x v="26"/>
    <x v="3"/>
    <x v="1"/>
    <n v="127823"/>
    <n v="40004"/>
    <n v="1487.24"/>
    <n v="243"/>
    <n v="5"/>
    <n v="0"/>
    <n v="0"/>
    <n v="-0.01"/>
    <n v="6.0743925607439258E-5"/>
    <n v="2.0576131687242798E-4"/>
    <n v="0"/>
    <n v="0"/>
    <n v="6.1203292181069955"/>
    <n v="297.44799999999998"/>
    <n v="-1487.24"/>
    <n v="0"/>
    <x v="1"/>
    <s v="Tier 2"/>
    <x v="1"/>
  </r>
  <r>
    <n v="291"/>
    <s v="February"/>
    <s v="Saturday"/>
    <x v="26"/>
    <x v="4"/>
    <x v="2"/>
    <n v="10934"/>
    <n v="44000"/>
    <n v="5721.83"/>
    <n v="440"/>
    <n v="15"/>
    <n v="3"/>
    <n v="23943"/>
    <n v="3.1845004133293019E-2"/>
    <n v="1E-4"/>
    <n v="3.4090909090909088E-4"/>
    <n v="2E-3"/>
    <n v="7981"/>
    <n v="13.004159090909091"/>
    <n v="381.45533333333333"/>
    <n v="18221.169999999998"/>
    <n v="1907.2766666666666"/>
    <x v="1"/>
    <s v="Tier 2"/>
    <x v="1"/>
  </r>
  <r>
    <n v="292"/>
    <s v="February"/>
    <s v="Saturday"/>
    <x v="26"/>
    <x v="5"/>
    <x v="0"/>
    <n v="9034945"/>
    <n v="44112"/>
    <n v="1832.16"/>
    <n v="275"/>
    <n v="6"/>
    <n v="1"/>
    <n v="5981"/>
    <n v="2.2644528862108115E-2"/>
    <n v="6.2341313021400065E-5"/>
    <n v="2.1818181818181821E-4"/>
    <n v="1.6666666666666666E-3"/>
    <n v="5981"/>
    <n v="6.6623999999999999"/>
    <n v="305.36"/>
    <n v="4148.84"/>
    <n v="1832.16"/>
    <x v="0"/>
    <s v="Tier 1"/>
    <x v="1"/>
  </r>
  <r>
    <n v="293"/>
    <s v="February"/>
    <s v="Saturday"/>
    <x v="26"/>
    <x v="6"/>
    <x v="0"/>
    <n v="983498"/>
    <n v="78799"/>
    <n v="254.14"/>
    <n v="503"/>
    <n v="3"/>
    <n v="0"/>
    <n v="0"/>
    <n v="-0.01"/>
    <n v="6.3833297376870264E-5"/>
    <n v="5.9642147117296219E-5"/>
    <n v="0"/>
    <n v="0"/>
    <n v="0.50524850894632201"/>
    <n v="84.713333333333324"/>
    <n v="-254.14"/>
    <n v="0"/>
    <x v="1"/>
    <s v="Tier 2"/>
    <x v="1"/>
  </r>
  <r>
    <n v="294"/>
    <s v="February"/>
    <s v="Saturday"/>
    <x v="26"/>
    <x v="7"/>
    <x v="0"/>
    <n v="4387490"/>
    <n v="667"/>
    <n v="200.42"/>
    <n v="20"/>
    <n v="0"/>
    <n v="0"/>
    <n v="0"/>
    <n v="-0.01"/>
    <n v="2.9985007496251872E-4"/>
    <n v="0"/>
    <n v="0"/>
    <n v="0"/>
    <n v="10.020999999999999"/>
    <n v="0"/>
    <n v="-200.42"/>
    <n v="0"/>
    <x v="1"/>
    <s v="Tier 2"/>
    <x v="1"/>
  </r>
  <r>
    <n v="295"/>
    <s v="February"/>
    <s v="Saturday"/>
    <x v="26"/>
    <x v="8"/>
    <x v="0"/>
    <n v="544756"/>
    <n v="13693"/>
    <n v="3098.45"/>
    <n v="115"/>
    <n v="2"/>
    <n v="0"/>
    <n v="0"/>
    <n v="-0.01"/>
    <n v="8.3984517636748705E-5"/>
    <n v="1.7391304347826088E-4"/>
    <n v="0"/>
    <n v="0"/>
    <n v="26.943043478260869"/>
    <n v="1549.2249999999999"/>
    <n v="-3098.45"/>
    <n v="0"/>
    <x v="1"/>
    <s v="Tier 2"/>
    <x v="1"/>
  </r>
  <r>
    <n v="296"/>
    <s v="February"/>
    <s v="Saturday"/>
    <x v="26"/>
    <x v="9"/>
    <x v="2"/>
    <n v="374754"/>
    <n v="24018"/>
    <n v="3524.08"/>
    <n v="298"/>
    <n v="6"/>
    <n v="1"/>
    <n v="4661"/>
    <n v="3.2261469660166625E-3"/>
    <n v="1.240736114580731E-4"/>
    <n v="2.0134228187919463E-4"/>
    <n v="1.6666666666666666E-3"/>
    <n v="4661"/>
    <n v="11.825771812080538"/>
    <n v="587.34666666666669"/>
    <n v="1136.92"/>
    <n v="3524.08"/>
    <x v="1"/>
    <s v="Tier 2"/>
    <x v="1"/>
  </r>
  <r>
    <n v="297"/>
    <s v="February"/>
    <s v="Saturday"/>
    <x v="26"/>
    <x v="10"/>
    <x v="3"/>
    <n v="39889"/>
    <n v="182546"/>
    <n v="2791.06"/>
    <n v="426"/>
    <n v="9"/>
    <n v="1"/>
    <n v="3981"/>
    <n v="4.2633981354754111E-3"/>
    <n v="2.3336583655626527E-5"/>
    <n v="2.112676056338028E-4"/>
    <n v="1.1111111111111111E-3"/>
    <n v="3981"/>
    <n v="6.5517840375586855"/>
    <n v="310.11777777777775"/>
    <n v="1189.94"/>
    <n v="2791.06"/>
    <x v="1"/>
    <s v="Tier 2"/>
    <x v="1"/>
  </r>
  <r>
    <n v="298"/>
    <s v="February"/>
    <s v="Sunday"/>
    <x v="27"/>
    <x v="0"/>
    <x v="0"/>
    <n v="349043"/>
    <n v="97200"/>
    <n v="6440.5"/>
    <n v="486"/>
    <n v="11"/>
    <n v="1"/>
    <n v="4981"/>
    <n v="-2.2661284061796442E-3"/>
    <n v="5.0000000000000002E-5"/>
    <n v="2.2633744855967078E-4"/>
    <n v="9.0909090909090909E-4"/>
    <n v="4981"/>
    <n v="13.252057613168724"/>
    <n v="585.5"/>
    <n v="-1459.5"/>
    <n v="6440.5"/>
    <x v="0"/>
    <s v="Tier 1"/>
    <x v="1"/>
  </r>
  <r>
    <n v="299"/>
    <s v="February"/>
    <s v="Sunday"/>
    <x v="27"/>
    <x v="1"/>
    <x v="0"/>
    <n v="348934"/>
    <n v="132200"/>
    <n v="8665.5499999999993"/>
    <n v="661"/>
    <n v="13"/>
    <n v="1"/>
    <n v="5509"/>
    <n v="-3.6426424173883936E-3"/>
    <n v="5.0000000000000002E-5"/>
    <n v="1.9667170953101363E-4"/>
    <n v="7.6923076923076923E-4"/>
    <n v="5509"/>
    <n v="13.109757942511346"/>
    <n v="666.58076923076919"/>
    <n v="-3156.5499999999993"/>
    <n v="8665.5499999999993"/>
    <x v="1"/>
    <s v="Tier 2"/>
    <x v="1"/>
  </r>
  <r>
    <n v="300"/>
    <s v="February"/>
    <s v="Sunday"/>
    <x v="27"/>
    <x v="2"/>
    <x v="1"/>
    <n v="89459845"/>
    <n v="11554"/>
    <n v="3529.73"/>
    <n v="187"/>
    <n v="5"/>
    <n v="1"/>
    <n v="8714"/>
    <n v="1.4687440682431803E-2"/>
    <n v="1.6184871040332351E-4"/>
    <n v="2.6737967914438503E-4"/>
    <n v="2E-3"/>
    <n v="8714"/>
    <n v="18.875561497326203"/>
    <n v="705.94600000000003"/>
    <n v="5184.2700000000004"/>
    <n v="3529.73"/>
    <x v="1"/>
    <s v="Tier 2"/>
    <x v="1"/>
  </r>
  <r>
    <n v="301"/>
    <s v="February"/>
    <s v="Sunday"/>
    <x v="27"/>
    <x v="3"/>
    <x v="1"/>
    <n v="127823"/>
    <n v="55625"/>
    <n v="384.75"/>
    <n v="487"/>
    <n v="1"/>
    <n v="0"/>
    <n v="0"/>
    <n v="-0.01"/>
    <n v="8.7550561797752809E-5"/>
    <n v="2.0533880903490761E-5"/>
    <n v="0"/>
    <n v="0"/>
    <n v="0.79004106776180694"/>
    <n v="384.75"/>
    <n v="-384.75"/>
    <n v="0"/>
    <x v="1"/>
    <s v="Tier 2"/>
    <x v="1"/>
  </r>
  <r>
    <n v="302"/>
    <s v="February"/>
    <s v="Sunday"/>
    <x v="27"/>
    <x v="4"/>
    <x v="2"/>
    <n v="10934"/>
    <n v="129025"/>
    <n v="9892.77"/>
    <n v="909"/>
    <n v="21"/>
    <n v="5"/>
    <n v="37450"/>
    <n v="2.7855929128039972E-2"/>
    <n v="7.0451462894787829E-5"/>
    <n v="2.3102310231023102E-4"/>
    <n v="2.3809523809523807E-3"/>
    <n v="7490"/>
    <n v="10.883135313531353"/>
    <n v="471.08428571428573"/>
    <n v="27557.23"/>
    <n v="1978.5540000000001"/>
    <x v="1"/>
    <s v="Tier 2"/>
    <x v="1"/>
  </r>
  <r>
    <n v="303"/>
    <s v="February"/>
    <s v="Sunday"/>
    <x v="27"/>
    <x v="5"/>
    <x v="0"/>
    <n v="9034945"/>
    <n v="63566"/>
    <n v="4950.74"/>
    <n v="546"/>
    <n v="12"/>
    <n v="1"/>
    <n v="5981"/>
    <n v="2.0810222310200096E-3"/>
    <n v="8.5894975301261683E-5"/>
    <n v="2.1978021978021981E-4"/>
    <n v="8.3333333333333328E-4"/>
    <n v="5981"/>
    <n v="9.0672893772893772"/>
    <n v="412.56166666666667"/>
    <n v="1030.2600000000002"/>
    <n v="4950.74"/>
    <x v="0"/>
    <s v="Tier 1"/>
    <x v="1"/>
  </r>
  <r>
    <n v="304"/>
    <s v="February"/>
    <s v="Sunday"/>
    <x v="27"/>
    <x v="6"/>
    <x v="0"/>
    <n v="983498"/>
    <n v="775780"/>
    <n v="760.75"/>
    <n v="1024"/>
    <n v="4"/>
    <n v="0"/>
    <n v="0"/>
    <n v="-0.01"/>
    <n v="1.3199618448529222E-5"/>
    <n v="3.9062500000000001E-5"/>
    <n v="0"/>
    <n v="0"/>
    <n v="0.742919921875"/>
    <n v="190.1875"/>
    <n v="-760.75"/>
    <n v="0"/>
    <x v="1"/>
    <s v="Tier 2"/>
    <x v="1"/>
  </r>
  <r>
    <n v="305"/>
    <s v="February"/>
    <s v="Sunday"/>
    <x v="27"/>
    <x v="7"/>
    <x v="0"/>
    <n v="4387490"/>
    <n v="1933"/>
    <n v="224.81"/>
    <n v="58"/>
    <n v="0"/>
    <n v="0"/>
    <n v="0"/>
    <n v="-0.01"/>
    <n v="3.000517330574237E-4"/>
    <n v="0"/>
    <n v="0"/>
    <n v="0"/>
    <n v="3.8760344827586208"/>
    <n v="0"/>
    <n v="-224.81"/>
    <n v="0"/>
    <x v="1"/>
    <s v="Tier 2"/>
    <x v="1"/>
  </r>
  <r>
    <n v="306"/>
    <s v="February"/>
    <s v="Sunday"/>
    <x v="27"/>
    <x v="8"/>
    <x v="0"/>
    <n v="544756"/>
    <n v="25840"/>
    <n v="6844.8"/>
    <n v="248"/>
    <n v="5"/>
    <n v="1"/>
    <n v="1491"/>
    <n v="-7.8217040673211786E-3"/>
    <n v="9.5975232198142416E-5"/>
    <n v="2.0161290322580645E-4"/>
    <n v="2E-3"/>
    <n v="1491"/>
    <n v="27.6"/>
    <n v="1368.96"/>
    <n v="-5353.8"/>
    <n v="6844.8"/>
    <x v="1"/>
    <s v="Tier 2"/>
    <x v="1"/>
  </r>
  <r>
    <n v="307"/>
    <s v="February"/>
    <s v="Sunday"/>
    <x v="27"/>
    <x v="9"/>
    <x v="2"/>
    <n v="374754"/>
    <n v="94058"/>
    <n v="4845.6499999999996"/>
    <n v="594"/>
    <n v="12"/>
    <n v="1"/>
    <n v="5008"/>
    <n v="3.3504277031977213E-4"/>
    <n v="6.3152522911395101E-5"/>
    <n v="2.0202020202020205E-4"/>
    <n v="8.3333333333333328E-4"/>
    <n v="5008"/>
    <n v="8.1576599326599322"/>
    <n v="403.80416666666662"/>
    <n v="162.35000000000036"/>
    <n v="4845.6499999999996"/>
    <x v="1"/>
    <s v="Tier 2"/>
    <x v="1"/>
  </r>
  <r>
    <n v="308"/>
    <s v="February"/>
    <s v="Sunday"/>
    <x v="27"/>
    <x v="10"/>
    <x v="3"/>
    <n v="39889"/>
    <n v="8490000"/>
    <n v="6822.62"/>
    <n v="849"/>
    <n v="18"/>
    <n v="2"/>
    <n v="7030"/>
    <n v="3.0395947597843659E-4"/>
    <n v="9.9999999999999995E-7"/>
    <n v="2.1201413427561838E-4"/>
    <n v="1.1111111111111111E-3"/>
    <n v="3515"/>
    <n v="8.0360659599528859"/>
    <n v="379.03444444444443"/>
    <n v="207.38000000000011"/>
    <n v="3411.31"/>
    <x v="1"/>
    <s v="Tier 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8D6F6EB-4813-4AAB-8955-581F2FDEA5AA}" name="PivotTable9"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8" rowHeaderCaption="Geographical Locations">
  <location ref="A127:D129" firstHeaderRow="0" firstDataRow="1" firstDataCol="1"/>
  <pivotFields count="31">
    <pivotField showAll="0"/>
    <pivotField showAll="0"/>
    <pivotField showAll="0"/>
    <pivotField numFmtId="14" showAll="0"/>
    <pivotField showAll="0">
      <items count="12">
        <item x="10"/>
        <item x="8"/>
        <item x="7"/>
        <item x="0"/>
        <item x="1"/>
        <item x="2"/>
        <item x="3"/>
        <item x="9"/>
        <item x="5"/>
        <item x="6"/>
        <item x="4"/>
        <item t="default"/>
      </items>
    </pivotField>
    <pivotField showAll="0" sortType="descending">
      <autoSortScope>
        <pivotArea dataOnly="0" outline="0" fieldPosition="0">
          <references count="1">
            <reference field="4294967294" count="1" selected="0">
              <x v="2"/>
            </reference>
          </references>
        </pivotArea>
      </autoSortScope>
    </pivotField>
    <pivotField showAll="0"/>
    <pivotField showAll="0"/>
    <pivotField dataField="1" numFmtId="164" showAll="0"/>
    <pivotField showAll="0"/>
    <pivotField showAll="0"/>
    <pivotField showAll="0"/>
    <pivotField dataField="1" numFmtId="164" showAll="0"/>
    <pivotField numFmtId="166" showAll="0"/>
    <pivotField numFmtId="167" showAll="0"/>
    <pivotField numFmtId="168" showAll="0"/>
    <pivotField numFmtId="167" showAll="0"/>
    <pivotField numFmtId="164" showAll="0"/>
    <pivotField numFmtId="164" showAll="0"/>
    <pivotField numFmtId="164" showAll="0"/>
    <pivotField numFmtId="164" showAll="0"/>
    <pivotField numFmtId="164" showAll="0"/>
    <pivotField axis="axisRow" showAll="0">
      <items count="3">
        <item x="0"/>
        <item x="1"/>
        <item t="default"/>
      </items>
    </pivotField>
    <pivotField showAll="0"/>
    <pivotField showAll="0" defaultSubtotal="0">
      <items count="2">
        <item x="0"/>
        <item x="1"/>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s>
  <rowFields count="1">
    <field x="22"/>
  </rowFields>
  <rowItems count="2">
    <i>
      <x/>
    </i>
    <i>
      <x v="1"/>
    </i>
  </rowItems>
  <colFields count="1">
    <field x="-2"/>
  </colFields>
  <colItems count="3">
    <i>
      <x/>
    </i>
    <i i="1">
      <x v="1"/>
    </i>
    <i i="2">
      <x v="2"/>
    </i>
  </colItems>
  <dataFields count="3">
    <dataField name="Total Revenue" fld="12" baseField="5" baseItem="0" numFmtId="164"/>
    <dataField name="Total Mark spent" fld="8" baseField="0" baseItem="0" numFmtId="164"/>
    <dataField name="True_ROMI %" fld="30" baseField="0" baseItem="0" numFmtId="10"/>
  </dataFields>
  <chartFormats count="10">
    <chartFormat chart="2"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12" format="2" series="1">
      <pivotArea type="data" outline="0" fieldPosition="0">
        <references count="1">
          <reference field="4294967294" count="1" selected="0">
            <x v="2"/>
          </reference>
        </references>
      </pivotArea>
    </chartFormat>
    <chartFormat chart="17"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1"/>
          </reference>
        </references>
      </pivotArea>
    </chartFormat>
    <chartFormat chart="17" format="2" series="1">
      <pivotArea type="data" outline="0" fieldPosition="0">
        <references count="1">
          <reference field="4294967294" count="1" selected="0">
            <x v="2"/>
          </reference>
        </references>
      </pivotArea>
    </chartFormat>
    <chartFormat chart="26" format="6" series="1">
      <pivotArea type="data" outline="0" fieldPosition="0">
        <references count="1">
          <reference field="4294967294" count="1" selected="0">
            <x v="0"/>
          </reference>
        </references>
      </pivotArea>
    </chartFormat>
    <chartFormat chart="26" format="7" series="1">
      <pivotArea type="data" outline="0" fieldPosition="0">
        <references count="1">
          <reference field="4294967294" count="1" selected="0">
            <x v="1"/>
          </reference>
        </references>
      </pivotArea>
    </chartFormat>
    <chartFormat chart="2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2EA2A24-0F8E-4132-AE0A-51E92242C7FC}" name="PivotTable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5" rowHeaderCaption="Campaign Category">
  <location ref="A113:D117" firstHeaderRow="0" firstDataRow="1" firstDataCol="1"/>
  <pivotFields count="31">
    <pivotField showAll="0"/>
    <pivotField showAll="0"/>
    <pivotField showAll="0"/>
    <pivotField numFmtId="14" showAll="0"/>
    <pivotField showAll="0">
      <items count="12">
        <item x="10"/>
        <item x="8"/>
        <item x="7"/>
        <item x="0"/>
        <item x="1"/>
        <item x="2"/>
        <item x="3"/>
        <item x="9"/>
        <item x="5"/>
        <item x="6"/>
        <item x="4"/>
        <item t="default"/>
      </items>
    </pivotField>
    <pivotField axis="axisRow" showAll="0" sortType="descending">
      <items count="5">
        <item x="2"/>
        <item x="3"/>
        <item x="1"/>
        <item x="0"/>
        <item t="default"/>
      </items>
      <autoSortScope>
        <pivotArea dataOnly="0" outline="0" fieldPosition="0">
          <references count="1">
            <reference field="4294967294" count="1" selected="0">
              <x v="2"/>
            </reference>
          </references>
        </pivotArea>
      </autoSortScope>
    </pivotField>
    <pivotField showAll="0"/>
    <pivotField showAll="0"/>
    <pivotField dataField="1" numFmtId="164" showAll="0"/>
    <pivotField showAll="0"/>
    <pivotField showAll="0"/>
    <pivotField showAll="0"/>
    <pivotField dataField="1" numFmtId="164" showAll="0"/>
    <pivotField numFmtId="166" showAll="0"/>
    <pivotField numFmtId="167" showAll="0"/>
    <pivotField numFmtId="168" showAll="0"/>
    <pivotField numFmtId="167" showAll="0"/>
    <pivotField numFmtId="164" showAll="0"/>
    <pivotField numFmtId="164" showAll="0"/>
    <pivotField numFmtId="164" showAll="0"/>
    <pivotField numFmtId="164" showAll="0"/>
    <pivotField numFmtId="164" showAll="0"/>
    <pivotField showAll="0">
      <items count="3">
        <item x="0"/>
        <item x="1"/>
        <item t="default"/>
      </items>
    </pivotField>
    <pivotField showAll="0"/>
    <pivotField showAll="0" defaultSubtotal="0">
      <items count="2">
        <item x="0"/>
        <item x="1"/>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s>
  <rowFields count="1">
    <field x="5"/>
  </rowFields>
  <rowItems count="4">
    <i>
      <x/>
    </i>
    <i>
      <x v="1"/>
    </i>
    <i>
      <x v="2"/>
    </i>
    <i>
      <x v="3"/>
    </i>
  </rowItems>
  <colFields count="1">
    <field x="-2"/>
  </colFields>
  <colItems count="3">
    <i>
      <x/>
    </i>
    <i i="1">
      <x v="1"/>
    </i>
    <i i="2">
      <x v="2"/>
    </i>
  </colItems>
  <dataFields count="3">
    <dataField name="Total Revenue" fld="12" baseField="5" baseItem="0" numFmtId="164"/>
    <dataField name="Total Mark spent" fld="8" baseField="0" baseItem="0" numFmtId="164"/>
    <dataField name="True_ROMI %" fld="30" baseField="0" baseItem="0" numFmtId="10"/>
  </dataFields>
  <chartFormats count="7">
    <chartFormat chart="2"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12" format="2" series="1">
      <pivotArea type="data" outline="0" fieldPosition="0">
        <references count="1">
          <reference field="4294967294" count="1" selected="0">
            <x v="2"/>
          </reference>
        </references>
      </pivotArea>
    </chartFormat>
    <chartFormat chart="24" format="6" series="1">
      <pivotArea type="data" outline="0" fieldPosition="0">
        <references count="1">
          <reference field="4294967294" count="1" selected="0">
            <x v="0"/>
          </reference>
        </references>
      </pivotArea>
    </chartFormat>
    <chartFormat chart="24" format="7" series="1">
      <pivotArea type="data" outline="0" fieldPosition="0">
        <references count="1">
          <reference field="4294967294" count="1" selected="0">
            <x v="1"/>
          </reference>
        </references>
      </pivotArea>
    </chartFormat>
    <chartFormat chart="24"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5970F73-9F63-4953-922A-D52F8A672E8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Campaign Name">
  <location ref="A12:B24" firstHeaderRow="1" firstDataRow="1" firstDataCol="1"/>
  <pivotFields count="31">
    <pivotField showAll="0"/>
    <pivotField showAll="0"/>
    <pivotField showAll="0"/>
    <pivotField numFmtId="14" showAll="0"/>
    <pivotField axis="axisRow" showAll="0" sortType="descending">
      <items count="12">
        <item x="10"/>
        <item x="8"/>
        <item x="7"/>
        <item x="0"/>
        <item x="1"/>
        <item x="2"/>
        <item x="3"/>
        <item x="9"/>
        <item x="5"/>
        <item x="6"/>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4" showAll="0"/>
    <pivotField showAll="0"/>
    <pivotField showAll="0"/>
    <pivotField showAll="0"/>
    <pivotField numFmtId="164" showAll="0"/>
    <pivotField numFmtId="166" showAll="0"/>
    <pivotField numFmtId="167" showAll="0"/>
    <pivotField numFmtId="168" showAll="0"/>
    <pivotField numFmtId="167" showAll="0"/>
    <pivotField numFmtId="164" showAll="0"/>
    <pivotField numFmtId="164" showAll="0"/>
    <pivotField numFmtId="164" showAll="0"/>
    <pivotField numFmtId="164" showAll="0"/>
    <pivotField numFmtId="164" showAll="0"/>
    <pivotField showAll="0">
      <items count="3">
        <item x="0"/>
        <item x="1"/>
        <item t="default"/>
      </items>
    </pivotField>
    <pivotField showAll="0"/>
    <pivotField showAll="0">
      <items count="3">
        <item x="0"/>
        <item x="1"/>
        <item t="default"/>
      </items>
    </pivotField>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4"/>
  </rowFields>
  <rowItems count="12">
    <i>
      <x v="10"/>
    </i>
    <i>
      <x v="2"/>
    </i>
    <i>
      <x v="5"/>
    </i>
    <i>
      <x v="8"/>
    </i>
    <i>
      <x v="7"/>
    </i>
    <i>
      <x/>
    </i>
    <i>
      <x v="3"/>
    </i>
    <i>
      <x v="4"/>
    </i>
    <i>
      <x v="6"/>
    </i>
    <i>
      <x v="9"/>
    </i>
    <i>
      <x v="1"/>
    </i>
    <i t="grand">
      <x/>
    </i>
  </rowItems>
  <colItems count="1">
    <i/>
  </colItems>
  <dataFields count="1">
    <dataField name="Total Campaign ROMI" fld="25" baseField="0" baseItem="0" numFmtId="2"/>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42EB6BC-B89C-4EA5-BD9F-C167DCCF71EC}"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0" rowHeaderCaption="Campaign Day Type">
  <location ref="A97:D99" firstHeaderRow="0" firstDataRow="1" firstDataCol="1"/>
  <pivotFields count="31">
    <pivotField showAll="0"/>
    <pivotField showAll="0"/>
    <pivotField showAll="0"/>
    <pivotField numFmtId="14" showAll="0"/>
    <pivotField showAll="0">
      <items count="12">
        <item x="10"/>
        <item x="8"/>
        <item x="7"/>
        <item x="0"/>
        <item x="1"/>
        <item x="2"/>
        <item x="3"/>
        <item x="9"/>
        <item x="5"/>
        <item x="6"/>
        <item x="4"/>
        <item t="default"/>
      </items>
    </pivotField>
    <pivotField showAll="0"/>
    <pivotField showAll="0"/>
    <pivotField showAll="0"/>
    <pivotField numFmtId="164" showAll="0"/>
    <pivotField dataField="1" showAll="0"/>
    <pivotField showAll="0"/>
    <pivotField dataField="1" showAll="0"/>
    <pivotField dataField="1" numFmtId="164" showAll="0"/>
    <pivotField numFmtId="166" showAll="0"/>
    <pivotField numFmtId="167" showAll="0"/>
    <pivotField numFmtId="168" showAll="0"/>
    <pivotField numFmtId="167" showAll="0"/>
    <pivotField numFmtId="164" showAll="0"/>
    <pivotField numFmtId="164" showAll="0"/>
    <pivotField numFmtId="164" showAll="0"/>
    <pivotField numFmtId="164" showAll="0"/>
    <pivotField numFmtId="164" showAll="0"/>
    <pivotField showAll="0">
      <items count="3">
        <item x="0"/>
        <item x="1"/>
        <item t="default"/>
      </items>
    </pivotField>
    <pivotField showAll="0"/>
    <pivotField axis="axisRow" showAll="0" defaultSubtotal="0">
      <items count="2">
        <item x="0"/>
        <item x="1"/>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24"/>
  </rowFields>
  <rowItems count="2">
    <i>
      <x/>
    </i>
    <i>
      <x v="1"/>
    </i>
  </rowItems>
  <colFields count="1">
    <field x="-2"/>
  </colFields>
  <colItems count="3">
    <i>
      <x/>
    </i>
    <i i="1">
      <x v="1"/>
    </i>
    <i i="2">
      <x v="2"/>
    </i>
  </colItems>
  <dataFields count="3">
    <dataField name="Average Revenue" fld="12" subtotal="average" baseField="23" baseItem="0" numFmtId="164"/>
    <dataField name="Average Orders" fld="11" subtotal="average" baseField="23" baseItem="0" numFmtId="2"/>
    <dataField name="Average Clicks" fld="9" subtotal="average" baseField="23" baseItem="0" numFmtId="2"/>
  </dataFields>
  <chartFormats count="6">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19" format="6" series="1">
      <pivotArea type="data" outline="0" fieldPosition="0">
        <references count="1">
          <reference field="4294967294" count="1" selected="0">
            <x v="0"/>
          </reference>
        </references>
      </pivotArea>
    </chartFormat>
    <chartFormat chart="19" format="7" series="1">
      <pivotArea type="data" outline="0" fieldPosition="0">
        <references count="1">
          <reference field="4294967294" count="1" selected="0">
            <x v="1"/>
          </reference>
        </references>
      </pivotArea>
    </chartFormat>
    <chartFormat chart="19"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F786B7E-62F5-46A2-9AAB-E2C563CA6FC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Calendar Date">
  <location ref="A29:C58" firstHeaderRow="0" firstDataRow="1" firstDataCol="1"/>
  <pivotFields count="31">
    <pivotField showAll="0"/>
    <pivotField showAll="0"/>
    <pivotField showAll="0"/>
    <pivotField axis="axisRow"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items count="12">
        <item x="10"/>
        <item x="8"/>
        <item x="7"/>
        <item x="0"/>
        <item x="1"/>
        <item x="2"/>
        <item x="3"/>
        <item x="9"/>
        <item x="5"/>
        <item x="6"/>
        <item x="4"/>
        <item t="default"/>
      </items>
    </pivotField>
    <pivotField showAll="0"/>
    <pivotField showAll="0"/>
    <pivotField showAll="0"/>
    <pivotField dataField="1" numFmtId="164" showAll="0"/>
    <pivotField showAll="0"/>
    <pivotField showAll="0"/>
    <pivotField showAll="0"/>
    <pivotField dataField="1" numFmtId="164" showAll="0"/>
    <pivotField numFmtId="166" showAll="0"/>
    <pivotField numFmtId="167" showAll="0"/>
    <pivotField numFmtId="168" showAll="0"/>
    <pivotField numFmtId="167" showAll="0"/>
    <pivotField numFmtId="164" showAll="0"/>
    <pivotField numFmtId="164" showAll="0"/>
    <pivotField numFmtId="164" showAll="0"/>
    <pivotField numFmtId="164" showAll="0"/>
    <pivotField numFmtId="164" showAll="0"/>
    <pivotField showAll="0">
      <items count="3">
        <item x="0"/>
        <item x="1"/>
        <item t="default"/>
      </items>
    </pivotField>
    <pivotField showAll="0"/>
    <pivotField showAll="0">
      <items count="3">
        <item x="0"/>
        <item x="1"/>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3"/>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Fields count="1">
    <field x="-2"/>
  </colFields>
  <colItems count="2">
    <i>
      <x/>
    </i>
    <i i="1">
      <x v="1"/>
    </i>
  </colItems>
  <dataFields count="2">
    <dataField name="Total Revenue" fld="12" baseField="0" baseItem="0" numFmtId="164"/>
    <dataField name="Total Mark spent" fld="8" baseField="0" baseItem="0" numFmtId="164"/>
  </dataField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63A6467-26F7-4998-BBA7-DFFD83F37A2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Date">
  <location ref="A61:B90" firstHeaderRow="1" firstDataRow="1" firstDataCol="1"/>
  <pivotFields count="31">
    <pivotField showAll="0"/>
    <pivotField showAll="0"/>
    <pivotField showAll="0"/>
    <pivotField axis="axisRow" numFmtId="14" showAll="0" sortType="descending">
      <items count="29">
        <item x="0"/>
        <item x="1"/>
        <item x="2"/>
        <item x="3"/>
        <item x="4"/>
        <item x="5"/>
        <item x="6"/>
        <item x="7"/>
        <item x="8"/>
        <item x="9"/>
        <item x="10"/>
        <item x="11"/>
        <item x="12"/>
        <item x="13"/>
        <item x="14"/>
        <item x="15"/>
        <item x="16"/>
        <item x="17"/>
        <item x="18"/>
        <item x="19"/>
        <item x="20"/>
        <item x="21"/>
        <item x="22"/>
        <item x="23"/>
        <item x="24"/>
        <item x="25"/>
        <item x="26"/>
        <item x="27"/>
        <item t="default"/>
      </items>
      <autoSortScope>
        <pivotArea dataOnly="0" outline="0" fieldPosition="0">
          <references count="1">
            <reference field="4294967294" count="1" selected="0">
              <x v="0"/>
            </reference>
          </references>
        </pivotArea>
      </autoSortScope>
    </pivotField>
    <pivotField showAll="0">
      <items count="12">
        <item x="10"/>
        <item x="8"/>
        <item x="7"/>
        <item x="0"/>
        <item x="1"/>
        <item x="2"/>
        <item x="3"/>
        <item x="9"/>
        <item x="5"/>
        <item x="6"/>
        <item x="4"/>
        <item t="default"/>
      </items>
    </pivotField>
    <pivotField showAll="0"/>
    <pivotField showAll="0"/>
    <pivotField showAll="0"/>
    <pivotField numFmtId="164" showAll="0"/>
    <pivotField showAll="0"/>
    <pivotField showAll="0"/>
    <pivotField showAll="0"/>
    <pivotField numFmtId="164" showAll="0"/>
    <pivotField numFmtId="166" showAll="0"/>
    <pivotField numFmtId="167" showAll="0"/>
    <pivotField numFmtId="168" showAll="0"/>
    <pivotField numFmtId="167" showAll="0"/>
    <pivotField numFmtId="164" showAll="0"/>
    <pivotField numFmtId="164" showAll="0"/>
    <pivotField numFmtId="164" showAll="0"/>
    <pivotField numFmtId="164" showAll="0"/>
    <pivotField numFmtId="164" showAll="0"/>
    <pivotField showAll="0">
      <items count="3">
        <item x="0"/>
        <item x="1"/>
        <item t="default"/>
      </items>
    </pivotField>
    <pivotField showAll="0"/>
    <pivotField showAll="0">
      <items count="3">
        <item x="0"/>
        <item x="1"/>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s>
  <rowFields count="1">
    <field x="3"/>
  </rowFields>
  <rowItems count="29">
    <i>
      <x v="24"/>
    </i>
    <i>
      <x v="18"/>
    </i>
    <i>
      <x v="1"/>
    </i>
    <i>
      <x v="23"/>
    </i>
    <i>
      <x v="16"/>
    </i>
    <i>
      <x v="12"/>
    </i>
    <i>
      <x v="21"/>
    </i>
    <i>
      <x v="10"/>
    </i>
    <i>
      <x v="3"/>
    </i>
    <i>
      <x v="8"/>
    </i>
    <i>
      <x v="27"/>
    </i>
    <i>
      <x v="19"/>
    </i>
    <i>
      <x v="20"/>
    </i>
    <i>
      <x v="11"/>
    </i>
    <i>
      <x v="4"/>
    </i>
    <i>
      <x v="15"/>
    </i>
    <i>
      <x v="2"/>
    </i>
    <i>
      <x v="5"/>
    </i>
    <i>
      <x v="22"/>
    </i>
    <i>
      <x v="25"/>
    </i>
    <i>
      <x v="14"/>
    </i>
    <i>
      <x v="9"/>
    </i>
    <i>
      <x v="7"/>
    </i>
    <i>
      <x v="13"/>
    </i>
    <i>
      <x v="6"/>
    </i>
    <i>
      <x v="26"/>
    </i>
    <i>
      <x/>
    </i>
    <i>
      <x v="17"/>
    </i>
    <i t="grand">
      <x/>
    </i>
  </rowItems>
  <colItems count="1">
    <i/>
  </colItems>
  <dataFields count="1">
    <dataField name="Total True_CR2" fld="29" baseField="0" baseItem="0"/>
  </dataFields>
  <chartFormats count="2">
    <chartFormat chart="2"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A2C3344-54D3-4AB3-BD93-F7C58C3B80E1}"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A4" firstHeaderRow="1" firstDataRow="1" firstDataCol="0"/>
  <pivotFields count="31">
    <pivotField showAll="0"/>
    <pivotField showAll="0"/>
    <pivotField showAll="0"/>
    <pivotField numFmtId="14" showAll="0"/>
    <pivotField showAll="0">
      <items count="12">
        <item x="10"/>
        <item x="8"/>
        <item x="7"/>
        <item x="0"/>
        <item x="1"/>
        <item x="2"/>
        <item x="3"/>
        <item x="9"/>
        <item x="5"/>
        <item x="6"/>
        <item x="4"/>
        <item t="default"/>
      </items>
    </pivotField>
    <pivotField showAll="0"/>
    <pivotField showAll="0"/>
    <pivotField showAll="0"/>
    <pivotField numFmtId="164" showAll="0"/>
    <pivotField showAll="0"/>
    <pivotField showAll="0"/>
    <pivotField showAll="0"/>
    <pivotField numFmtId="164" showAll="0"/>
    <pivotField numFmtId="166" showAll="0"/>
    <pivotField numFmtId="167" showAll="0"/>
    <pivotField numFmtId="168" showAll="0"/>
    <pivotField numFmtId="167" showAll="0"/>
    <pivotField numFmtId="164" showAll="0"/>
    <pivotField numFmtId="164" showAll="0"/>
    <pivotField numFmtId="164" showAll="0"/>
    <pivotField numFmtId="164" showAll="0"/>
    <pivotField numFmtId="164" showAll="0"/>
    <pivotField showAll="0">
      <items count="3">
        <item x="0"/>
        <item x="1"/>
        <item t="default"/>
      </items>
    </pivotField>
    <pivotField showAll="0"/>
    <pivotField showAll="0">
      <items count="3">
        <item x="0"/>
        <item x="1"/>
        <item t="default"/>
      </items>
    </pivotField>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Overall_ROMI" fld="27" baseField="0" baseItem="0" numFmtId="2"/>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paign_name" xr10:uid="{41603A6A-5588-4F2A-9C1A-E7CF8D9F2137}" sourceName="Campaign name">
  <pivotTables>
    <pivotTable tabId="13" name="PivotTable7"/>
    <pivotTable tabId="13" name="PivotTable1"/>
    <pivotTable tabId="13" name="PivotTable2"/>
    <pivotTable tabId="13" name="PivotTable5"/>
    <pivotTable tabId="13" name="PivotTable6"/>
    <pivotTable tabId="13" name="PivotTable8"/>
    <pivotTable tabId="13" name="PivotTable9"/>
  </pivotTables>
  <data>
    <tabular pivotCacheId="978649192">
      <items count="11">
        <i x="10" s="1"/>
        <i x="8" s="1"/>
        <i x="7" s="1"/>
        <i x="0" s="1"/>
        <i x="1" s="1"/>
        <i x="2" s="1"/>
        <i x="3" s="1"/>
        <i x="9" s="1"/>
        <i x="5" s="1"/>
        <i x="6"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 xr10:uid="{25A30CCB-E96C-40A0-BE49-894726B0F92F}" sourceName="GEO">
  <pivotTables>
    <pivotTable tabId="13" name="PivotTable7"/>
    <pivotTable tabId="13" name="PivotTable1"/>
    <pivotTable tabId="13" name="PivotTable2"/>
    <pivotTable tabId="13" name="PivotTable5"/>
    <pivotTable tabId="13" name="PivotTable6"/>
    <pivotTable tabId="13" name="PivotTable8"/>
    <pivotTable tabId="13" name="PivotTable9"/>
  </pivotTables>
  <data>
    <tabular pivotCacheId="978649192">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TYPE" xr10:uid="{44E64E41-1644-4E86-A21B-BB7441A9D0A7}" sourceName="DAY TYPE">
  <pivotTables>
    <pivotTable tabId="13" name="PivotTable7"/>
    <pivotTable tabId="13" name="PivotTable1"/>
    <pivotTable tabId="13" name="PivotTable2"/>
    <pivotTable tabId="13" name="PivotTable5"/>
    <pivotTable tabId="13" name="PivotTable6"/>
    <pivotTable tabId="13" name="PivotTable8"/>
    <pivotTable tabId="13" name="PivotTable9"/>
  </pivotTables>
  <data>
    <tabular pivotCacheId="978649192">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mpaign name" xr10:uid="{D676766D-53ED-4200-88F9-30B9892D83E7}" cache="Slicer_Campaign_name" caption="Campaign name" style="SlicerStyleLight2" rowHeight="251883"/>
  <slicer name="GEO" xr10:uid="{78E5BF97-619D-4C87-B6DC-5716479190C4}" cache="Slicer_GEO" caption="GEO" style="SlicerStyleLight2" rowHeight="251883"/>
  <slicer name="DAY TYPE" xr10:uid="{A97A921A-D33E-4D3C-B808-9F918ADC4499}" cache="Slicer_DAY_TYPE" caption="Day Type" style="SlicerStyleLight2"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D0E1E73-8E36-427E-AE01-71DD27B2B886}" name="Marketing" displayName="Marketing" ref="A1:Y310" totalsRowCount="1" headerRowDxfId="53" dataDxfId="52" tableBorderDxfId="51">
  <autoFilter ref="A1:Y309" xr:uid="{BD0E1E73-8E36-427E-AE01-71DD27B2B886}"/>
  <sortState xmlns:xlrd2="http://schemas.microsoft.com/office/spreadsheetml/2017/richdata2" ref="A2:Y309">
    <sortCondition ref="A1:A309"/>
  </sortState>
  <tableColumns count="25">
    <tableColumn id="1" xr3:uid="{AA1B3C1C-846D-4C48-BAF3-2F1C57F4D058}" name="id" dataDxfId="50" totalsRowDxfId="49"/>
    <tableColumn id="2" xr3:uid="{82595A02-2DC4-48B9-8B84-48B0D3748B21}" name="MONTH" dataDxfId="48" totalsRowDxfId="47"/>
    <tableColumn id="3" xr3:uid="{87504874-A8E1-4989-9FAC-05E7A1E19311}" name="DAY" dataDxfId="46" totalsRowDxfId="45"/>
    <tableColumn id="4" xr3:uid="{365D58EB-A934-4466-AB94-D46FA338BA94}" name="Calendar Date" dataDxfId="44" totalsRowDxfId="43"/>
    <tableColumn id="5" xr3:uid="{84C49032-5A27-439A-BFF5-E3E40472115E}" name="Campaign name" dataDxfId="42" totalsRowDxfId="41"/>
    <tableColumn id="6" xr3:uid="{E31AD00F-E71E-43E6-B5D2-8A5824BD9188}" name="Campaign category" dataDxfId="40" totalsRowDxfId="39"/>
    <tableColumn id="7" xr3:uid="{55E1304D-CBB0-490E-BCA3-69002BCFB1A2}" name="Campaign id" dataDxfId="38" totalsRowDxfId="37"/>
    <tableColumn id="8" xr3:uid="{0634831B-4119-4ECA-8A69-337A82FD47D1}" name="Impressions" dataDxfId="36" totalsRowDxfId="35"/>
    <tableColumn id="9" xr3:uid="{19F0429D-53F0-4E47-9CB2-1BEFF7D065A2}" name="Mark spent" totalsRowFunction="custom" dataDxfId="34" totalsRowDxfId="33">
      <totalsRowFormula>SUM(Marketing[Mark spent])</totalsRowFormula>
    </tableColumn>
    <tableColumn id="10" xr3:uid="{FA31A51A-691A-410A-8CF6-9A2FB820CE37}" name="Clicks" dataDxfId="32" totalsRowDxfId="31"/>
    <tableColumn id="11" xr3:uid="{95D89DF3-F9FD-4A5D-A59D-510DE5CF0D36}" name="Leads" dataDxfId="30" totalsRowDxfId="29"/>
    <tableColumn id="12" xr3:uid="{BB15B210-9063-43D1-BAE4-E783CAA03E61}" name="Orders" totalsRowFunction="custom" dataDxfId="28" totalsRowDxfId="27">
      <totalsRowFormula>SUM(Marketing[Orders])</totalsRowFormula>
    </tableColumn>
    <tableColumn id="13" xr3:uid="{1E825334-DA4A-412F-9176-80AE13583DB6}" name="Revenue" totalsRowFunction="custom" dataDxfId="26" totalsRowDxfId="25">
      <totalsRowFormula>SUM(Marketing[Revenue])</totalsRowFormula>
    </tableColumn>
    <tableColumn id="14" xr3:uid="{D27DBF7F-47F8-4F32-B436-6032DB645505}" name="ROMI %" totalsRowFunction="custom" dataDxfId="24" totalsRowDxfId="23" dataCellStyle="Percent">
      <totalsRowFormula>(Marketing[[#Totals],[Revenue]]-Marketing[[#Totals],[Mark spent]])/Marketing[[#Totals],[Mark spent]]</totalsRowFormula>
    </tableColumn>
    <tableColumn id="15" xr3:uid="{C08BC589-7D69-458F-8260-1251574559F8}" name="CTR %" dataDxfId="22" totalsRowDxfId="21" dataCellStyle="Percent"/>
    <tableColumn id="16" xr3:uid="{87AA03E5-313B-461E-83DB-0EA7F838188D}" name="CR1(VL) %" dataDxfId="20" totalsRowDxfId="19" dataCellStyle="Percent"/>
    <tableColumn id="17" xr3:uid="{E839F3EA-AC37-4E4E-8C55-87ED753E55EF}" name="CR2(LO) %" dataDxfId="18" totalsRowDxfId="17" dataCellStyle="Percent"/>
    <tableColumn id="18" xr3:uid="{F940E290-572D-4CC3-A6E3-DE776C05DF6E}" name="AVERAGE ORDER VALUE" dataDxfId="16" totalsRowDxfId="15"/>
    <tableColumn id="19" xr3:uid="{8C085375-D15C-4BF8-8A35-19EFFF39564B}" name="COST PER CLICK" dataDxfId="14" totalsRowDxfId="13"/>
    <tableColumn id="20" xr3:uid="{9C5004AD-7AFC-47BB-BB71-EEBCDBBDA1C8}" name="COST PER LEAD" dataDxfId="12" totalsRowDxfId="11"/>
    <tableColumn id="21" xr3:uid="{07D1768B-2FCC-4527-9B9F-66DE60CB0361}" name="GROSS PROFIT" dataDxfId="10" totalsRowDxfId="9"/>
    <tableColumn id="22" xr3:uid="{D2974756-660E-4CF8-BC5B-0E4C82444981}" name="CAC" dataDxfId="8" totalsRowDxfId="7"/>
    <tableColumn id="23" xr3:uid="{14ADCF11-1CDE-4900-A7C0-9A1E3A971798}" name="GEO" dataDxfId="6" totalsRowDxfId="5"/>
    <tableColumn id="25" xr3:uid="{A9ECF8F0-C80B-4E77-8D64-F22B0D5551BB}" name="GEO2" dataDxfId="4" totalsRowDxfId="3">
      <calculatedColumnFormula>IF(ISNUMBER(SEARCH("tier1", E2)), "Tier 1", IF(ISNUMBER(SEARCH("tier2", E2)), "Tier 2", "Tier 2"))</calculatedColumnFormula>
    </tableColumn>
    <tableColumn id="24" xr3:uid="{92A52FA2-625D-422C-AD5D-7FAA8CDA2FA5}" name="DAY TYPE" dataDxfId="2" totalsRow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080EF0-819F-4144-8FE0-CDA15305A943}">
  <dimension ref="A1:Y310"/>
  <sheetViews>
    <sheetView workbookViewId="0">
      <selection activeCell="E3" sqref="E3:E309"/>
    </sheetView>
  </sheetViews>
  <sheetFormatPr defaultRowHeight="14.5" x14ac:dyDescent="0.35"/>
  <cols>
    <col min="1" max="1" width="4.81640625" bestFit="1" customWidth="1"/>
    <col min="2" max="2" width="9" hidden="1" customWidth="1"/>
    <col min="3" max="3" width="10.1796875" hidden="1" customWidth="1"/>
    <col min="4" max="4" width="14.7265625" style="1" customWidth="1"/>
    <col min="5" max="5" width="18.08984375" bestFit="1" customWidth="1"/>
    <col min="6" max="6" width="18.81640625" customWidth="1"/>
    <col min="7" max="8" width="13.08984375" customWidth="1"/>
    <col min="9" max="9" width="13.54296875" style="9" customWidth="1"/>
    <col min="10" max="10" width="8.08984375" customWidth="1"/>
    <col min="11" max="11" width="7.36328125" customWidth="1"/>
    <col min="12" max="12" width="8.08984375" customWidth="1"/>
    <col min="13" max="13" width="13.54296875" style="9" bestFit="1" customWidth="1"/>
    <col min="14" max="14" width="9.1796875" style="11" customWidth="1"/>
    <col min="15" max="15" width="8.08984375" style="17" customWidth="1"/>
    <col min="16" max="16" width="11.453125" style="19" customWidth="1"/>
    <col min="17" max="17" width="11.6328125" style="17" customWidth="1"/>
    <col min="18" max="18" width="22.54296875" style="9" customWidth="1"/>
    <col min="19" max="19" width="16.453125" style="9" customWidth="1"/>
    <col min="20" max="20" width="15.6328125" style="9" customWidth="1"/>
    <col min="21" max="21" width="15.08984375" style="9" customWidth="1"/>
    <col min="22" max="22" width="12.453125" style="9" bestFit="1" customWidth="1"/>
    <col min="23" max="23" width="6.36328125" customWidth="1"/>
    <col min="24" max="24" width="8.54296875" customWidth="1"/>
    <col min="25" max="25" width="10.7265625" customWidth="1"/>
  </cols>
  <sheetData>
    <row r="1" spans="1:25" x14ac:dyDescent="0.35">
      <c r="A1" s="20" t="s">
        <v>0</v>
      </c>
      <c r="B1" s="20" t="s">
        <v>24</v>
      </c>
      <c r="C1" s="20" t="s">
        <v>23</v>
      </c>
      <c r="D1" s="21" t="s">
        <v>28</v>
      </c>
      <c r="E1" s="20" t="s">
        <v>21</v>
      </c>
      <c r="F1" s="20" t="s">
        <v>27</v>
      </c>
      <c r="G1" s="20" t="s">
        <v>38</v>
      </c>
      <c r="H1" s="20" t="s">
        <v>39</v>
      </c>
      <c r="I1" s="22" t="s">
        <v>30</v>
      </c>
      <c r="J1" s="20" t="s">
        <v>32</v>
      </c>
      <c r="K1" s="20" t="s">
        <v>33</v>
      </c>
      <c r="L1" s="20" t="s">
        <v>34</v>
      </c>
      <c r="M1" s="22" t="s">
        <v>29</v>
      </c>
      <c r="N1" s="23" t="s">
        <v>31</v>
      </c>
      <c r="O1" s="24" t="s">
        <v>35</v>
      </c>
      <c r="P1" s="25" t="s">
        <v>36</v>
      </c>
      <c r="Q1" s="24" t="s">
        <v>37</v>
      </c>
      <c r="R1" s="22" t="s">
        <v>15</v>
      </c>
      <c r="S1" s="22" t="s">
        <v>16</v>
      </c>
      <c r="T1" s="22" t="s">
        <v>17</v>
      </c>
      <c r="U1" s="22" t="s">
        <v>18</v>
      </c>
      <c r="V1" s="22" t="s">
        <v>19</v>
      </c>
      <c r="W1" s="20" t="s">
        <v>20</v>
      </c>
      <c r="X1" s="20" t="s">
        <v>63</v>
      </c>
      <c r="Y1" s="20" t="s">
        <v>22</v>
      </c>
    </row>
    <row r="2" spans="1:25" x14ac:dyDescent="0.35">
      <c r="A2" s="5">
        <v>1</v>
      </c>
      <c r="B2" s="5" t="str">
        <f>TEXT(Marketing!$D2,"MMMM")</f>
        <v>February</v>
      </c>
      <c r="C2" s="5" t="str">
        <f>TEXT(Marketing!$D2,"DDDD")</f>
        <v>Monday</v>
      </c>
      <c r="D2" s="6">
        <v>44228</v>
      </c>
      <c r="E2" s="5" t="s">
        <v>1</v>
      </c>
      <c r="F2" s="5" t="s">
        <v>2</v>
      </c>
      <c r="G2" s="5">
        <v>349043</v>
      </c>
      <c r="H2" s="5">
        <v>148263</v>
      </c>
      <c r="I2" s="12">
        <v>7307.37</v>
      </c>
      <c r="J2" s="5">
        <v>1210</v>
      </c>
      <c r="K2" s="5">
        <v>13</v>
      </c>
      <c r="L2" s="5">
        <v>1</v>
      </c>
      <c r="M2" s="12">
        <v>4981</v>
      </c>
      <c r="N2" s="14">
        <v>-3.1835940974659829E-3</v>
      </c>
      <c r="O2" s="16">
        <v>8.161173050592527E-5</v>
      </c>
      <c r="P2" s="18">
        <v>1.0743801652892562E-4</v>
      </c>
      <c r="Q2" s="16">
        <v>7.6923076923076923E-4</v>
      </c>
      <c r="R2" s="12">
        <f>IF(Marketing!$L2=0, 0, Marketing!$M2/Marketing!$L2)</f>
        <v>4981</v>
      </c>
      <c r="S2" s="12">
        <f>IF(Marketing!$J2=0,0,Marketing!$I2/Marketing!$J2)</f>
        <v>6.039148760330578</v>
      </c>
      <c r="T2" s="12">
        <f>IF(Marketing!$K2=0,0,Marketing!$I2/Marketing!$K2)</f>
        <v>562.10538461538465</v>
      </c>
      <c r="U2" s="12">
        <f>Marketing!$M2 - Marketing!$I2</f>
        <v>-2326.37</v>
      </c>
      <c r="V2" s="12">
        <f>IF(Marketing!$L2=0,0,Marketing!$I2/Marketing!$L2)</f>
        <v>7307.37</v>
      </c>
      <c r="W2" s="5" t="str">
        <f>IF(ISNUMBER(SEARCH("tier1",Marketing!$E2)),"Tier 1","Tier 2")</f>
        <v>Tier 1</v>
      </c>
      <c r="X2" s="5" t="str">
        <f t="shared" ref="X2:X65" si="0">IF(ISNUMBER(SEARCH("tier1", E2)), "Tier 1", IF(ISNUMBER(SEARCH("tier2", E2)), "Tier 2", "Tier 2"))</f>
        <v>Tier 1</v>
      </c>
      <c r="Y2" s="5" t="str">
        <f>IF(WEEKDAY(Marketing!$D2,2)&lt;6,"Weekday","Weekend")</f>
        <v>Weekday</v>
      </c>
    </row>
    <row r="3" spans="1:25" x14ac:dyDescent="0.35">
      <c r="A3" s="7">
        <v>2</v>
      </c>
      <c r="B3" s="7" t="str">
        <f>TEXT(Marketing!$D3,"MMMM")</f>
        <v>February</v>
      </c>
      <c r="C3" s="7" t="str">
        <f>TEXT(Marketing!$D3,"DDDD")</f>
        <v>Monday</v>
      </c>
      <c r="D3" s="8">
        <v>44228</v>
      </c>
      <c r="E3" s="7" t="s">
        <v>67</v>
      </c>
      <c r="F3" s="7" t="s">
        <v>2</v>
      </c>
      <c r="G3" s="7">
        <v>348934</v>
      </c>
      <c r="H3" s="7">
        <v>220688</v>
      </c>
      <c r="I3" s="13">
        <v>16300.2</v>
      </c>
      <c r="J3" s="7">
        <v>1640</v>
      </c>
      <c r="K3" s="7">
        <v>48</v>
      </c>
      <c r="L3" s="7">
        <v>3</v>
      </c>
      <c r="M3" s="13">
        <v>14962</v>
      </c>
      <c r="N3" s="15">
        <v>-8.209715218218186E-4</v>
      </c>
      <c r="O3" s="16">
        <v>7.4313057347930107E-5</v>
      </c>
      <c r="P3" s="18">
        <v>2.9268292682926834E-4</v>
      </c>
      <c r="Q3" s="16">
        <v>6.2500000000000001E-4</v>
      </c>
      <c r="R3" s="13">
        <f>IF(Marketing!$L3=0, 0, Marketing!$M3/Marketing!$L3)</f>
        <v>4987.333333333333</v>
      </c>
      <c r="S3" s="13">
        <f>IF(Marketing!$J3=0,0,Marketing!$I3/Marketing!$J3)</f>
        <v>9.9391463414634149</v>
      </c>
      <c r="T3" s="13">
        <f>IF(Marketing!$K3=0,0,Marketing!$I3/Marketing!$K3)</f>
        <v>339.58750000000003</v>
      </c>
      <c r="U3" s="13">
        <f>Marketing!$M3 - Marketing!$I3</f>
        <v>-1338.2000000000007</v>
      </c>
      <c r="V3" s="13">
        <f>IF(Marketing!$L3=0,0,Marketing!$I3/Marketing!$L3)</f>
        <v>5433.4000000000005</v>
      </c>
      <c r="W3" s="7" t="str">
        <f>IF(ISNUMBER(SEARCH("tier1",Marketing!$E3)),"Tier 1","Tier 2")</f>
        <v>Tier 2</v>
      </c>
      <c r="X3" s="7" t="str">
        <f t="shared" si="0"/>
        <v>Tier 2</v>
      </c>
      <c r="Y3" s="7" t="str">
        <f>IF(WEEKDAY(Marketing!$D3,2)&lt;6,"Weekday","Weekend")</f>
        <v>Weekday</v>
      </c>
    </row>
    <row r="4" spans="1:25" x14ac:dyDescent="0.35">
      <c r="A4" s="5">
        <v>3</v>
      </c>
      <c r="B4" s="5" t="str">
        <f>TEXT(Marketing!$D4,"MMMM")</f>
        <v>February</v>
      </c>
      <c r="C4" s="5" t="str">
        <f>TEXT(Marketing!$D4,"DDDD")</f>
        <v>Monday</v>
      </c>
      <c r="D4" s="6">
        <v>44228</v>
      </c>
      <c r="E4" s="5" t="s">
        <v>3</v>
      </c>
      <c r="F4" s="5" t="s">
        <v>4</v>
      </c>
      <c r="G4" s="5">
        <v>89459845</v>
      </c>
      <c r="H4" s="5">
        <v>22850</v>
      </c>
      <c r="I4" s="12">
        <v>5221.6000000000004</v>
      </c>
      <c r="J4" s="5">
        <v>457</v>
      </c>
      <c r="K4" s="5">
        <v>9</v>
      </c>
      <c r="L4" s="5">
        <v>1</v>
      </c>
      <c r="M4" s="12">
        <v>7981</v>
      </c>
      <c r="N4" s="14">
        <v>5.2845870997395425E-3</v>
      </c>
      <c r="O4" s="16">
        <v>2.0000000000000001E-4</v>
      </c>
      <c r="P4" s="18">
        <v>1.9693654266958425E-4</v>
      </c>
      <c r="Q4" s="16">
        <v>1.1111111111111111E-3</v>
      </c>
      <c r="R4" s="12">
        <f>IF(Marketing!$L4=0, 0, Marketing!$M4/Marketing!$L4)</f>
        <v>7981</v>
      </c>
      <c r="S4" s="12">
        <f>IF(Marketing!$J4=0,0,Marketing!$I4/Marketing!$J4)</f>
        <v>11.42582056892779</v>
      </c>
      <c r="T4" s="12">
        <f>IF(Marketing!$K4=0,0,Marketing!$I4/Marketing!$K4)</f>
        <v>580.17777777777781</v>
      </c>
      <c r="U4" s="12">
        <f>Marketing!$M4 - Marketing!$I4</f>
        <v>2759.3999999999996</v>
      </c>
      <c r="V4" s="12">
        <f>IF(Marketing!$L4=0,0,Marketing!$I4/Marketing!$L4)</f>
        <v>5221.6000000000004</v>
      </c>
      <c r="W4" s="5" t="str">
        <f>IF(ISNUMBER(SEARCH("tier1",Marketing!$E4)),"Tier 1","Tier 2")</f>
        <v>Tier 2</v>
      </c>
      <c r="X4" s="5" t="str">
        <f t="shared" si="0"/>
        <v>Tier 2</v>
      </c>
      <c r="Y4" s="5" t="str">
        <f>IF(WEEKDAY(Marketing!$D4,2)&lt;6,"Weekday","Weekend")</f>
        <v>Weekday</v>
      </c>
    </row>
    <row r="5" spans="1:25" x14ac:dyDescent="0.35">
      <c r="A5" s="7">
        <v>4</v>
      </c>
      <c r="B5" s="7" t="str">
        <f>TEXT(Marketing!$D5,"MMMM")</f>
        <v>February</v>
      </c>
      <c r="C5" s="7" t="str">
        <f>TEXT(Marketing!$D5,"DDDD")</f>
        <v>Monday</v>
      </c>
      <c r="D5" s="8">
        <v>44228</v>
      </c>
      <c r="E5" s="7" t="s">
        <v>5</v>
      </c>
      <c r="F5" s="7" t="s">
        <v>4</v>
      </c>
      <c r="G5" s="7">
        <v>127823</v>
      </c>
      <c r="H5" s="7">
        <v>147038</v>
      </c>
      <c r="I5" s="13">
        <v>6037</v>
      </c>
      <c r="J5" s="7">
        <v>1196</v>
      </c>
      <c r="K5" s="7">
        <v>24</v>
      </c>
      <c r="L5" s="7">
        <v>1</v>
      </c>
      <c r="M5" s="13">
        <v>2114</v>
      </c>
      <c r="N5" s="15">
        <v>-6.4982607255259237E-3</v>
      </c>
      <c r="O5" s="16">
        <v>8.1339517675702871E-5</v>
      </c>
      <c r="P5" s="18">
        <v>2.0066889632107025E-4</v>
      </c>
      <c r="Q5" s="16">
        <v>4.1666666666666664E-4</v>
      </c>
      <c r="R5" s="13">
        <f>IF(Marketing!$L5=0, 0, Marketing!$M5/Marketing!$L5)</f>
        <v>2114</v>
      </c>
      <c r="S5" s="13">
        <f>IF(Marketing!$J5=0,0,Marketing!$I5/Marketing!$J5)</f>
        <v>5.0476588628762542</v>
      </c>
      <c r="T5" s="13">
        <f>IF(Marketing!$K5=0,0,Marketing!$I5/Marketing!$K5)</f>
        <v>251.54166666666666</v>
      </c>
      <c r="U5" s="13">
        <f>Marketing!$M5 - Marketing!$I5</f>
        <v>-3923</v>
      </c>
      <c r="V5" s="13">
        <f>IF(Marketing!$L5=0,0,Marketing!$I5/Marketing!$L5)</f>
        <v>6037</v>
      </c>
      <c r="W5" s="7" t="str">
        <f>IF(ISNUMBER(SEARCH("tier1",Marketing!$E5)),"Tier 1","Tier 2")</f>
        <v>Tier 2</v>
      </c>
      <c r="X5" s="7" t="str">
        <f t="shared" si="0"/>
        <v>Tier 2</v>
      </c>
      <c r="Y5" s="7" t="str">
        <f>IF(WEEKDAY(Marketing!$D5,2)&lt;6,"Weekday","Weekend")</f>
        <v>Weekday</v>
      </c>
    </row>
    <row r="6" spans="1:25" x14ac:dyDescent="0.35">
      <c r="A6" s="5">
        <v>5</v>
      </c>
      <c r="B6" s="5" t="str">
        <f>TEXT(Marketing!$D6,"MMMM")</f>
        <v>February</v>
      </c>
      <c r="C6" s="5" t="str">
        <f>TEXT(Marketing!$D6,"DDDD")</f>
        <v>Monday</v>
      </c>
      <c r="D6" s="6">
        <v>44228</v>
      </c>
      <c r="E6" s="5" t="s">
        <v>6</v>
      </c>
      <c r="F6" s="5" t="s">
        <v>7</v>
      </c>
      <c r="G6" s="5">
        <v>10934</v>
      </c>
      <c r="H6" s="5">
        <v>225800</v>
      </c>
      <c r="I6" s="12">
        <v>29962.2</v>
      </c>
      <c r="J6" s="5">
        <v>2258</v>
      </c>
      <c r="K6" s="5">
        <v>49</v>
      </c>
      <c r="L6" s="5">
        <v>10</v>
      </c>
      <c r="M6" s="12">
        <v>84490</v>
      </c>
      <c r="N6" s="14">
        <v>1.8198863901849664E-2</v>
      </c>
      <c r="O6" s="16">
        <v>1E-4</v>
      </c>
      <c r="P6" s="18">
        <v>2.1700620017714792E-4</v>
      </c>
      <c r="Q6" s="16">
        <v>2.0408163265306124E-3</v>
      </c>
      <c r="R6" s="12">
        <f>IF(Marketing!$L6=0, 0, Marketing!$M6/Marketing!$L6)</f>
        <v>8449</v>
      </c>
      <c r="S6" s="12">
        <f>IF(Marketing!$J6=0,0,Marketing!$I6/Marketing!$J6)</f>
        <v>13.269353410097432</v>
      </c>
      <c r="T6" s="12">
        <f>IF(Marketing!$K6=0,0,Marketing!$I6/Marketing!$K6)</f>
        <v>611.47346938775513</v>
      </c>
      <c r="U6" s="12">
        <f>Marketing!$M6 - Marketing!$I6</f>
        <v>54527.8</v>
      </c>
      <c r="V6" s="12">
        <f>IF(Marketing!$L6=0,0,Marketing!$I6/Marketing!$L6)</f>
        <v>2996.2200000000003</v>
      </c>
      <c r="W6" s="5" t="str">
        <f>IF(ISNUMBER(SEARCH("tier1",Marketing!$E6)),"Tier 1","Tier 2")</f>
        <v>Tier 2</v>
      </c>
      <c r="X6" s="5" t="str">
        <f t="shared" si="0"/>
        <v>Tier 2</v>
      </c>
      <c r="Y6" s="5" t="str">
        <f>IF(WEEKDAY(Marketing!$D6,2)&lt;6,"Weekday","Weekend")</f>
        <v>Weekday</v>
      </c>
    </row>
    <row r="7" spans="1:25" x14ac:dyDescent="0.35">
      <c r="A7" s="7">
        <v>6</v>
      </c>
      <c r="B7" s="7" t="str">
        <f>TEXT(Marketing!$D7,"MMMM")</f>
        <v>February</v>
      </c>
      <c r="C7" s="7" t="str">
        <f>TEXT(Marketing!$D7,"DDDD")</f>
        <v>Monday</v>
      </c>
      <c r="D7" s="8">
        <v>44228</v>
      </c>
      <c r="E7" s="7" t="s">
        <v>8</v>
      </c>
      <c r="F7" s="7" t="s">
        <v>2</v>
      </c>
      <c r="G7" s="7">
        <v>9034945</v>
      </c>
      <c r="H7" s="7">
        <v>444857</v>
      </c>
      <c r="I7" s="13">
        <v>9540.01</v>
      </c>
      <c r="J7" s="7">
        <v>1342</v>
      </c>
      <c r="K7" s="7">
        <v>27</v>
      </c>
      <c r="L7" s="7">
        <v>3</v>
      </c>
      <c r="M7" s="13">
        <v>17943</v>
      </c>
      <c r="N7" s="15">
        <v>8.8081563855803083E-3</v>
      </c>
      <c r="O7" s="16">
        <v>3.0166997484584933E-5</v>
      </c>
      <c r="P7" s="18">
        <v>2.0119225037257824E-4</v>
      </c>
      <c r="Q7" s="16">
        <v>1.1111111111111111E-3</v>
      </c>
      <c r="R7" s="13">
        <f>IF(Marketing!$L7=0, 0, Marketing!$M7/Marketing!$L7)</f>
        <v>5981</v>
      </c>
      <c r="S7" s="13">
        <f>IF(Marketing!$J7=0,0,Marketing!$I7/Marketing!$J7)</f>
        <v>7.1088002980625937</v>
      </c>
      <c r="T7" s="13">
        <f>IF(Marketing!$K7=0,0,Marketing!$I7/Marketing!$K7)</f>
        <v>353.33370370370369</v>
      </c>
      <c r="U7" s="13">
        <f>Marketing!$M7 - Marketing!$I7</f>
        <v>8402.99</v>
      </c>
      <c r="V7" s="13">
        <f>IF(Marketing!$L7=0,0,Marketing!$I7/Marketing!$L7)</f>
        <v>3180.0033333333336</v>
      </c>
      <c r="W7" s="7" t="str">
        <f>IF(ISNUMBER(SEARCH("tier1",Marketing!$E7)),"Tier 1","Tier 2")</f>
        <v>Tier 1</v>
      </c>
      <c r="X7" s="7" t="str">
        <f t="shared" si="0"/>
        <v>Tier 1</v>
      </c>
      <c r="Y7" s="7" t="str">
        <f>IF(WEEKDAY(Marketing!$D7,2)&lt;6,"Weekday","Weekend")</f>
        <v>Weekday</v>
      </c>
    </row>
    <row r="8" spans="1:25" x14ac:dyDescent="0.35">
      <c r="A8" s="5">
        <v>7</v>
      </c>
      <c r="B8" s="5" t="str">
        <f>TEXT(Marketing!$D8,"MMMM")</f>
        <v>February</v>
      </c>
      <c r="C8" s="5" t="str">
        <f>TEXT(Marketing!$D8,"DDDD")</f>
        <v>Monday</v>
      </c>
      <c r="D8" s="6">
        <v>44228</v>
      </c>
      <c r="E8" s="5" t="s">
        <v>9</v>
      </c>
      <c r="F8" s="5" t="s">
        <v>2</v>
      </c>
      <c r="G8" s="5">
        <v>983498</v>
      </c>
      <c r="H8" s="5">
        <v>511200</v>
      </c>
      <c r="I8" s="12">
        <v>3648.9</v>
      </c>
      <c r="J8" s="5">
        <v>2556</v>
      </c>
      <c r="K8" s="5">
        <v>94</v>
      </c>
      <c r="L8" s="5">
        <v>1</v>
      </c>
      <c r="M8" s="12">
        <v>1981</v>
      </c>
      <c r="N8" s="14">
        <v>-4.5709665926717642E-3</v>
      </c>
      <c r="O8" s="16">
        <v>5.0000000000000002E-5</v>
      </c>
      <c r="P8" s="18">
        <v>3.6776212832550863E-4</v>
      </c>
      <c r="Q8" s="16">
        <v>1.0638297872340425E-4</v>
      </c>
      <c r="R8" s="12">
        <f>IF(Marketing!$L8=0, 0, Marketing!$M8/Marketing!$L8)</f>
        <v>1981</v>
      </c>
      <c r="S8" s="12">
        <f>IF(Marketing!$J8=0,0,Marketing!$I8/Marketing!$J8)</f>
        <v>1.4275821596244131</v>
      </c>
      <c r="T8" s="12">
        <f>IF(Marketing!$K8=0,0,Marketing!$I8/Marketing!$K8)</f>
        <v>38.818085106382981</v>
      </c>
      <c r="U8" s="12">
        <f>Marketing!$M8 - Marketing!$I8</f>
        <v>-1667.9</v>
      </c>
      <c r="V8" s="12">
        <f>IF(Marketing!$L8=0,0,Marketing!$I8/Marketing!$L8)</f>
        <v>3648.9</v>
      </c>
      <c r="W8" s="5" t="str">
        <f>IF(ISNUMBER(SEARCH("tier1",Marketing!$E8)),"Tier 1","Tier 2")</f>
        <v>Tier 2</v>
      </c>
      <c r="X8" s="5" t="str">
        <f t="shared" si="0"/>
        <v>Tier 2</v>
      </c>
      <c r="Y8" s="5" t="str">
        <f>IF(WEEKDAY(Marketing!$D8,2)&lt;6,"Weekday","Weekend")</f>
        <v>Weekday</v>
      </c>
    </row>
    <row r="9" spans="1:25" x14ac:dyDescent="0.35">
      <c r="A9" s="7">
        <v>8</v>
      </c>
      <c r="B9" s="7" t="str">
        <f>TEXT(Marketing!$D9,"MMMM")</f>
        <v>February</v>
      </c>
      <c r="C9" s="7" t="str">
        <f>TEXT(Marketing!$D9,"DDDD")</f>
        <v>Monday</v>
      </c>
      <c r="D9" s="8">
        <v>44228</v>
      </c>
      <c r="E9" s="7" t="s">
        <v>10</v>
      </c>
      <c r="F9" s="7" t="s">
        <v>2</v>
      </c>
      <c r="G9" s="7">
        <v>4387490</v>
      </c>
      <c r="H9" s="7">
        <v>5544</v>
      </c>
      <c r="I9" s="13">
        <v>1293.55</v>
      </c>
      <c r="J9" s="7">
        <v>148</v>
      </c>
      <c r="K9" s="7">
        <v>3</v>
      </c>
      <c r="L9" s="7">
        <v>1</v>
      </c>
      <c r="M9" s="13">
        <v>4981</v>
      </c>
      <c r="N9" s="15">
        <v>2.85064357775115E-2</v>
      </c>
      <c r="O9" s="16">
        <v>2.6695526695526696E-4</v>
      </c>
      <c r="P9" s="18">
        <v>2.0270270270270272E-4</v>
      </c>
      <c r="Q9" s="16">
        <v>3.3333333333333331E-3</v>
      </c>
      <c r="R9" s="13">
        <f>IF(Marketing!$L9=0, 0, Marketing!$M9/Marketing!$L9)</f>
        <v>4981</v>
      </c>
      <c r="S9" s="13">
        <f>IF(Marketing!$J9=0,0,Marketing!$I9/Marketing!$J9)</f>
        <v>8.7402027027027032</v>
      </c>
      <c r="T9" s="13">
        <f>IF(Marketing!$K9=0,0,Marketing!$I9/Marketing!$K9)</f>
        <v>431.18333333333334</v>
      </c>
      <c r="U9" s="13">
        <f>Marketing!$M9 - Marketing!$I9</f>
        <v>3687.45</v>
      </c>
      <c r="V9" s="13">
        <f>IF(Marketing!$L9=0,0,Marketing!$I9/Marketing!$L9)</f>
        <v>1293.55</v>
      </c>
      <c r="W9" s="7" t="str">
        <f>IF(ISNUMBER(SEARCH("tier1",Marketing!$E9)),"Tier 1","Tier 2")</f>
        <v>Tier 2</v>
      </c>
      <c r="X9" s="7" t="str">
        <f t="shared" si="0"/>
        <v>Tier 2</v>
      </c>
      <c r="Y9" s="7" t="str">
        <f>IF(WEEKDAY(Marketing!$D9,2)&lt;6,"Weekday","Weekend")</f>
        <v>Weekday</v>
      </c>
    </row>
    <row r="10" spans="1:25" x14ac:dyDescent="0.35">
      <c r="A10" s="5">
        <v>9</v>
      </c>
      <c r="B10" s="5" t="str">
        <f>TEXT(Marketing!$D10,"MMMM")</f>
        <v>February</v>
      </c>
      <c r="C10" s="5" t="str">
        <f>TEXT(Marketing!$D10,"DDDD")</f>
        <v>Monday</v>
      </c>
      <c r="D10" s="6">
        <v>44228</v>
      </c>
      <c r="E10" s="5" t="s">
        <v>11</v>
      </c>
      <c r="F10" s="5" t="s">
        <v>2</v>
      </c>
      <c r="G10" s="5">
        <v>544756</v>
      </c>
      <c r="H10" s="5">
        <v>56916</v>
      </c>
      <c r="I10" s="12">
        <v>16997.8</v>
      </c>
      <c r="J10" s="5">
        <v>596</v>
      </c>
      <c r="K10" s="5">
        <v>14</v>
      </c>
      <c r="L10" s="5">
        <v>2</v>
      </c>
      <c r="M10" s="12">
        <v>4162</v>
      </c>
      <c r="N10" s="14">
        <v>-7.5514478344256321E-3</v>
      </c>
      <c r="O10" s="16">
        <v>1.0471572141401363E-4</v>
      </c>
      <c r="P10" s="18">
        <v>2.348993288590604E-4</v>
      </c>
      <c r="Q10" s="16">
        <v>1.4285714285714286E-3</v>
      </c>
      <c r="R10" s="12">
        <f>IF(Marketing!$L10=0, 0, Marketing!$M10/Marketing!$L10)</f>
        <v>2081</v>
      </c>
      <c r="S10" s="12">
        <f>IF(Marketing!$J10=0,0,Marketing!$I10/Marketing!$J10)</f>
        <v>28.51979865771812</v>
      </c>
      <c r="T10" s="12">
        <f>IF(Marketing!$K10=0,0,Marketing!$I10/Marketing!$K10)</f>
        <v>1214.1285714285714</v>
      </c>
      <c r="U10" s="12">
        <f>Marketing!$M10 - Marketing!$I10</f>
        <v>-12835.8</v>
      </c>
      <c r="V10" s="12">
        <f>IF(Marketing!$L10=0,0,Marketing!$I10/Marketing!$L10)</f>
        <v>8498.9</v>
      </c>
      <c r="W10" s="5" t="str">
        <f>IF(ISNUMBER(SEARCH("tier1",Marketing!$E10)),"Tier 1","Tier 2")</f>
        <v>Tier 2</v>
      </c>
      <c r="X10" s="5" t="str">
        <f t="shared" si="0"/>
        <v>Tier 2</v>
      </c>
      <c r="Y10" s="5" t="str">
        <f>IF(WEEKDAY(Marketing!$D10,2)&lt;6,"Weekday","Weekend")</f>
        <v>Weekday</v>
      </c>
    </row>
    <row r="11" spans="1:25" x14ac:dyDescent="0.35">
      <c r="A11" s="7">
        <v>10</v>
      </c>
      <c r="B11" s="7" t="str">
        <f>TEXT(Marketing!$D11,"MMMM")</f>
        <v>February</v>
      </c>
      <c r="C11" s="7" t="str">
        <f>TEXT(Marketing!$D11,"DDDD")</f>
        <v>Monday</v>
      </c>
      <c r="D11" s="8">
        <v>44228</v>
      </c>
      <c r="E11" s="7" t="s">
        <v>12</v>
      </c>
      <c r="F11" s="7" t="s">
        <v>7</v>
      </c>
      <c r="G11" s="7">
        <v>374754</v>
      </c>
      <c r="H11" s="7">
        <v>120436</v>
      </c>
      <c r="I11" s="13">
        <v>23604.1</v>
      </c>
      <c r="J11" s="7">
        <v>1498</v>
      </c>
      <c r="K11" s="7">
        <v>49</v>
      </c>
      <c r="L11" s="7">
        <v>7</v>
      </c>
      <c r="M11" s="13">
        <v>39081</v>
      </c>
      <c r="N11" s="15">
        <v>6.55686935744214E-3</v>
      </c>
      <c r="O11" s="16">
        <v>1.2438141419509116E-4</v>
      </c>
      <c r="P11" s="18">
        <v>3.2710280373831772E-4</v>
      </c>
      <c r="Q11" s="16">
        <v>1.4285714285714286E-3</v>
      </c>
      <c r="R11" s="13">
        <f>IF(Marketing!$L11=0, 0, Marketing!$M11/Marketing!$L11)</f>
        <v>5583</v>
      </c>
      <c r="S11" s="13">
        <f>IF(Marketing!$J11=0,0,Marketing!$I11/Marketing!$J11)</f>
        <v>15.757076101468623</v>
      </c>
      <c r="T11" s="13">
        <f>IF(Marketing!$K11=0,0,Marketing!$I11/Marketing!$K11)</f>
        <v>481.71632653061221</v>
      </c>
      <c r="U11" s="13">
        <f>Marketing!$M11 - Marketing!$I11</f>
        <v>15476.900000000001</v>
      </c>
      <c r="V11" s="13">
        <f>IF(Marketing!$L11=0,0,Marketing!$I11/Marketing!$L11)</f>
        <v>3372.0142857142855</v>
      </c>
      <c r="W11" s="7" t="str">
        <f>IF(ISNUMBER(SEARCH("tier1",Marketing!$E11)),"Tier 1","Tier 2")</f>
        <v>Tier 2</v>
      </c>
      <c r="X11" s="7" t="str">
        <f t="shared" si="0"/>
        <v>Tier 2</v>
      </c>
      <c r="Y11" s="7" t="str">
        <f>IF(WEEKDAY(Marketing!$D11,2)&lt;6,"Weekday","Weekend")</f>
        <v>Weekday</v>
      </c>
    </row>
    <row r="12" spans="1:25" x14ac:dyDescent="0.35">
      <c r="A12" s="5">
        <v>11</v>
      </c>
      <c r="B12" s="5" t="str">
        <f>TEXT(Marketing!$D12,"MMMM")</f>
        <v>February</v>
      </c>
      <c r="C12" s="5" t="str">
        <f>TEXT(Marketing!$D12,"DDDD")</f>
        <v>Monday</v>
      </c>
      <c r="D12" s="6">
        <v>44228</v>
      </c>
      <c r="E12" s="5" t="s">
        <v>13</v>
      </c>
      <c r="F12" s="5" t="s">
        <v>14</v>
      </c>
      <c r="G12" s="5">
        <v>39889</v>
      </c>
      <c r="H12" s="5">
        <v>20900000</v>
      </c>
      <c r="I12" s="12">
        <v>931.99</v>
      </c>
      <c r="J12" s="5">
        <v>2090</v>
      </c>
      <c r="K12" s="5">
        <v>3</v>
      </c>
      <c r="L12" s="5">
        <v>0</v>
      </c>
      <c r="M12" s="12">
        <v>0</v>
      </c>
      <c r="N12" s="14">
        <v>-0.01</v>
      </c>
      <c r="O12" s="16">
        <v>9.9999999999999995E-7</v>
      </c>
      <c r="P12" s="18">
        <v>1.4354066985645932E-5</v>
      </c>
      <c r="Q12" s="16">
        <v>0</v>
      </c>
      <c r="R12" s="12">
        <f>IF(Marketing!$L12=0, 0, Marketing!$M12/Marketing!$L12)</f>
        <v>0</v>
      </c>
      <c r="S12" s="12">
        <f>IF(Marketing!$J12=0,0,Marketing!$I12/Marketing!$J12)</f>
        <v>0.44592822966507178</v>
      </c>
      <c r="T12" s="12">
        <f>IF(Marketing!$K12=0,0,Marketing!$I12/Marketing!$K12)</f>
        <v>310.66333333333336</v>
      </c>
      <c r="U12" s="12">
        <f>Marketing!$M12 - Marketing!$I12</f>
        <v>-931.99</v>
      </c>
      <c r="V12" s="12">
        <f>IF(Marketing!$L12=0,0,Marketing!$I12/Marketing!$L12)</f>
        <v>0</v>
      </c>
      <c r="W12" s="5" t="str">
        <f>IF(ISNUMBER(SEARCH("tier1",Marketing!$E12)),"Tier 1","Tier 2")</f>
        <v>Tier 2</v>
      </c>
      <c r="X12" s="5" t="str">
        <f t="shared" si="0"/>
        <v>Tier 2</v>
      </c>
      <c r="Y12" s="5" t="str">
        <f>IF(WEEKDAY(Marketing!$D12,2)&lt;6,"Weekday","Weekend")</f>
        <v>Weekday</v>
      </c>
    </row>
    <row r="13" spans="1:25" x14ac:dyDescent="0.35">
      <c r="A13" s="7">
        <v>12</v>
      </c>
      <c r="B13" s="7" t="str">
        <f>TEXT(Marketing!$D13,"MMMM")</f>
        <v>February</v>
      </c>
      <c r="C13" s="7" t="str">
        <f>TEXT(Marketing!$D13,"DDDD")</f>
        <v>Tuesday</v>
      </c>
      <c r="D13" s="8">
        <v>44229</v>
      </c>
      <c r="E13" s="7" t="s">
        <v>1</v>
      </c>
      <c r="F13" s="7" t="s">
        <v>2</v>
      </c>
      <c r="G13" s="7">
        <v>349043</v>
      </c>
      <c r="H13" s="7">
        <v>478200</v>
      </c>
      <c r="I13" s="13">
        <v>18385.3</v>
      </c>
      <c r="J13" s="7">
        <v>2391</v>
      </c>
      <c r="K13" s="7">
        <v>48</v>
      </c>
      <c r="L13" s="7">
        <v>4</v>
      </c>
      <c r="M13" s="13">
        <v>17812</v>
      </c>
      <c r="N13" s="15">
        <v>-3.1182520818262376E-4</v>
      </c>
      <c r="O13" s="16">
        <v>5.0000000000000002E-5</v>
      </c>
      <c r="P13" s="18">
        <v>2.0075282308657465E-4</v>
      </c>
      <c r="Q13" s="16">
        <v>8.3333333333333328E-4</v>
      </c>
      <c r="R13" s="13">
        <f>IF(Marketing!$L13=0, 0, Marketing!$M13/Marketing!$L13)</f>
        <v>4453</v>
      </c>
      <c r="S13" s="13">
        <f>IF(Marketing!$J13=0,0,Marketing!$I13/Marketing!$J13)</f>
        <v>7.6893768297783351</v>
      </c>
      <c r="T13" s="13">
        <f>IF(Marketing!$K13=0,0,Marketing!$I13/Marketing!$K13)</f>
        <v>383.02708333333334</v>
      </c>
      <c r="U13" s="13">
        <f>Marketing!$M13 - Marketing!$I13</f>
        <v>-573.29999999999927</v>
      </c>
      <c r="V13" s="13">
        <f>IF(Marketing!$L13=0,0,Marketing!$I13/Marketing!$L13)</f>
        <v>4596.3249999999998</v>
      </c>
      <c r="W13" s="7" t="str">
        <f>IF(ISNUMBER(SEARCH("tier1",Marketing!$E13)),"Tier 1","Tier 2")</f>
        <v>Tier 1</v>
      </c>
      <c r="X13" s="7" t="str">
        <f t="shared" si="0"/>
        <v>Tier 1</v>
      </c>
      <c r="Y13" s="7" t="str">
        <f>IF(WEEKDAY(Marketing!$D13,2)&lt;6,"Weekday","Weekend")</f>
        <v>Weekday</v>
      </c>
    </row>
    <row r="14" spans="1:25" x14ac:dyDescent="0.35">
      <c r="A14" s="5">
        <v>13</v>
      </c>
      <c r="B14" s="5" t="str">
        <f>TEXT(Marketing!$D14,"MMMM")</f>
        <v>February</v>
      </c>
      <c r="C14" s="5" t="str">
        <f>TEXT(Marketing!$D14,"DDDD")</f>
        <v>Tuesday</v>
      </c>
      <c r="D14" s="6">
        <v>44229</v>
      </c>
      <c r="E14" s="7" t="s">
        <v>67</v>
      </c>
      <c r="F14" s="5" t="s">
        <v>2</v>
      </c>
      <c r="G14" s="5">
        <v>348934</v>
      </c>
      <c r="H14" s="5">
        <v>957806</v>
      </c>
      <c r="I14" s="12">
        <v>2198.0500000000002</v>
      </c>
      <c r="J14" s="5">
        <v>3294</v>
      </c>
      <c r="K14" s="5">
        <v>10</v>
      </c>
      <c r="L14" s="5">
        <v>0</v>
      </c>
      <c r="M14" s="12">
        <v>0</v>
      </c>
      <c r="N14" s="14">
        <v>-0.01</v>
      </c>
      <c r="O14" s="16">
        <v>3.4391097988527946E-5</v>
      </c>
      <c r="P14" s="18">
        <v>3.0358227079538553E-5</v>
      </c>
      <c r="Q14" s="16">
        <v>0</v>
      </c>
      <c r="R14" s="12">
        <f>IF(Marketing!$L14=0, 0, Marketing!$M14/Marketing!$L14)</f>
        <v>0</v>
      </c>
      <c r="S14" s="12">
        <f>IF(Marketing!$J14=0,0,Marketing!$I14/Marketing!$J14)</f>
        <v>0.66728901032179722</v>
      </c>
      <c r="T14" s="12">
        <f>IF(Marketing!$K14=0,0,Marketing!$I14/Marketing!$K14)</f>
        <v>219.80500000000001</v>
      </c>
      <c r="U14" s="12">
        <f>Marketing!$M14 - Marketing!$I14</f>
        <v>-2198.0500000000002</v>
      </c>
      <c r="V14" s="12">
        <f>IF(Marketing!$L14=0,0,Marketing!$I14/Marketing!$L14)</f>
        <v>0</v>
      </c>
      <c r="W14" s="5" t="str">
        <f>IF(ISNUMBER(SEARCH("tier1",Marketing!$E14)),"Tier 1","Tier 2")</f>
        <v>Tier 2</v>
      </c>
      <c r="X14" s="5" t="str">
        <f t="shared" si="0"/>
        <v>Tier 2</v>
      </c>
      <c r="Y14" s="5" t="str">
        <f>IF(WEEKDAY(Marketing!$D14,2)&lt;6,"Weekday","Weekend")</f>
        <v>Weekday</v>
      </c>
    </row>
    <row r="15" spans="1:25" x14ac:dyDescent="0.35">
      <c r="A15" s="7">
        <v>14</v>
      </c>
      <c r="B15" s="7" t="str">
        <f>TEXT(Marketing!$D15,"MMMM")</f>
        <v>February</v>
      </c>
      <c r="C15" s="7" t="str">
        <f>TEXT(Marketing!$D15,"DDDD")</f>
        <v>Tuesday</v>
      </c>
      <c r="D15" s="8">
        <v>44229</v>
      </c>
      <c r="E15" s="7" t="s">
        <v>3</v>
      </c>
      <c r="F15" s="7" t="s">
        <v>4</v>
      </c>
      <c r="G15" s="7">
        <v>89459845</v>
      </c>
      <c r="H15" s="7">
        <v>43806</v>
      </c>
      <c r="I15" s="13">
        <v>11446.7</v>
      </c>
      <c r="J15" s="7">
        <v>907</v>
      </c>
      <c r="K15" s="7">
        <v>18</v>
      </c>
      <c r="L15" s="7">
        <v>3</v>
      </c>
      <c r="M15" s="13">
        <v>23943</v>
      </c>
      <c r="N15" s="15">
        <v>1.0916945495208226E-2</v>
      </c>
      <c r="O15" s="16">
        <v>2.0704926265808336E-4</v>
      </c>
      <c r="P15" s="18">
        <v>1.9845644983461963E-4</v>
      </c>
      <c r="Q15" s="16">
        <v>1.6666666666666666E-3</v>
      </c>
      <c r="R15" s="13">
        <f>IF(Marketing!$L15=0, 0, Marketing!$M15/Marketing!$L15)</f>
        <v>7981</v>
      </c>
      <c r="S15" s="13">
        <f>IF(Marketing!$J15=0,0,Marketing!$I15/Marketing!$J15)</f>
        <v>12.62039691289967</v>
      </c>
      <c r="T15" s="13">
        <f>IF(Marketing!$K15=0,0,Marketing!$I15/Marketing!$K15)</f>
        <v>635.92777777777781</v>
      </c>
      <c r="U15" s="13">
        <f>Marketing!$M15 - Marketing!$I15</f>
        <v>12496.3</v>
      </c>
      <c r="V15" s="13">
        <f>IF(Marketing!$L15=0,0,Marketing!$I15/Marketing!$L15)</f>
        <v>3815.5666666666671</v>
      </c>
      <c r="W15" s="7" t="str">
        <f>IF(ISNUMBER(SEARCH("tier1",Marketing!$E15)),"Tier 1","Tier 2")</f>
        <v>Tier 2</v>
      </c>
      <c r="X15" s="7" t="str">
        <f t="shared" si="0"/>
        <v>Tier 2</v>
      </c>
      <c r="Y15" s="7" t="str">
        <f>IF(WEEKDAY(Marketing!$D15,2)&lt;6,"Weekday","Weekend")</f>
        <v>Weekday</v>
      </c>
    </row>
    <row r="16" spans="1:25" x14ac:dyDescent="0.35">
      <c r="A16" s="5">
        <v>15</v>
      </c>
      <c r="B16" s="5" t="str">
        <f>TEXT(Marketing!$D16,"MMMM")</f>
        <v>February</v>
      </c>
      <c r="C16" s="5" t="str">
        <f>TEXT(Marketing!$D16,"DDDD")</f>
        <v>Tuesday</v>
      </c>
      <c r="D16" s="6">
        <v>44229</v>
      </c>
      <c r="E16" s="5" t="s">
        <v>5</v>
      </c>
      <c r="F16" s="5" t="s">
        <v>4</v>
      </c>
      <c r="G16" s="5">
        <v>127823</v>
      </c>
      <c r="H16" s="5">
        <v>314704</v>
      </c>
      <c r="I16" s="12">
        <v>15153.6</v>
      </c>
      <c r="J16" s="5">
        <v>2395</v>
      </c>
      <c r="K16" s="5">
        <v>39</v>
      </c>
      <c r="L16" s="5">
        <v>4</v>
      </c>
      <c r="M16" s="12">
        <v>12540</v>
      </c>
      <c r="N16" s="14">
        <v>-1.7247386759581885E-3</v>
      </c>
      <c r="O16" s="16">
        <v>7.6103258935380542E-5</v>
      </c>
      <c r="P16" s="18">
        <v>1.6283924843423802E-4</v>
      </c>
      <c r="Q16" s="16">
        <v>1.0256410256410256E-3</v>
      </c>
      <c r="R16" s="12">
        <f>IF(Marketing!$L16=0, 0, Marketing!$M16/Marketing!$L16)</f>
        <v>3135</v>
      </c>
      <c r="S16" s="12">
        <f>IF(Marketing!$J16=0,0,Marketing!$I16/Marketing!$J16)</f>
        <v>6.3271816283924842</v>
      </c>
      <c r="T16" s="12">
        <f>IF(Marketing!$K16=0,0,Marketing!$I16/Marketing!$K16)</f>
        <v>388.55384615384617</v>
      </c>
      <c r="U16" s="12">
        <f>Marketing!$M16 - Marketing!$I16</f>
        <v>-2613.6000000000004</v>
      </c>
      <c r="V16" s="12">
        <f>IF(Marketing!$L16=0,0,Marketing!$I16/Marketing!$L16)</f>
        <v>3788.4</v>
      </c>
      <c r="W16" s="5" t="str">
        <f>IF(ISNUMBER(SEARCH("tier1",Marketing!$E16)),"Tier 1","Tier 2")</f>
        <v>Tier 2</v>
      </c>
      <c r="X16" s="5" t="str">
        <f t="shared" si="0"/>
        <v>Tier 2</v>
      </c>
      <c r="Y16" s="5" t="str">
        <f>IF(WEEKDAY(Marketing!$D16,2)&lt;6,"Weekday","Weekend")</f>
        <v>Weekday</v>
      </c>
    </row>
    <row r="17" spans="1:25" x14ac:dyDescent="0.35">
      <c r="A17" s="7">
        <v>16</v>
      </c>
      <c r="B17" s="7" t="str">
        <f>TEXT(Marketing!$D17,"MMMM")</f>
        <v>February</v>
      </c>
      <c r="C17" s="7" t="str">
        <f>TEXT(Marketing!$D17,"DDDD")</f>
        <v>Tuesday</v>
      </c>
      <c r="D17" s="8">
        <v>44229</v>
      </c>
      <c r="E17" s="7" t="s">
        <v>6</v>
      </c>
      <c r="F17" s="7" t="s">
        <v>7</v>
      </c>
      <c r="G17" s="7">
        <v>10934</v>
      </c>
      <c r="H17" s="7">
        <v>449200</v>
      </c>
      <c r="I17" s="13">
        <v>42301.1</v>
      </c>
      <c r="J17" s="7">
        <v>4492</v>
      </c>
      <c r="K17" s="7">
        <v>85</v>
      </c>
      <c r="L17" s="7">
        <v>17</v>
      </c>
      <c r="M17" s="13">
        <v>149141</v>
      </c>
      <c r="N17" s="15">
        <v>2.5257002772977533E-2</v>
      </c>
      <c r="O17" s="16">
        <v>1E-4</v>
      </c>
      <c r="P17" s="18">
        <v>1.892252894033838E-4</v>
      </c>
      <c r="Q17" s="16">
        <v>2E-3</v>
      </c>
      <c r="R17" s="13">
        <f>IF(Marketing!$L17=0, 0, Marketing!$M17/Marketing!$L17)</f>
        <v>8773</v>
      </c>
      <c r="S17" s="13">
        <f>IF(Marketing!$J17=0,0,Marketing!$I17/Marketing!$J17)</f>
        <v>9.416985752448797</v>
      </c>
      <c r="T17" s="13">
        <f>IF(Marketing!$K17=0,0,Marketing!$I17/Marketing!$K17)</f>
        <v>497.65999999999997</v>
      </c>
      <c r="U17" s="13">
        <f>Marketing!$M17 - Marketing!$I17</f>
        <v>106839.9</v>
      </c>
      <c r="V17" s="13">
        <f>IF(Marketing!$L17=0,0,Marketing!$I17/Marketing!$L17)</f>
        <v>2488.2999999999997</v>
      </c>
      <c r="W17" s="7" t="str">
        <f>IF(ISNUMBER(SEARCH("tier1",Marketing!$E17)),"Tier 1","Tier 2")</f>
        <v>Tier 2</v>
      </c>
      <c r="X17" s="7" t="str">
        <f t="shared" si="0"/>
        <v>Tier 2</v>
      </c>
      <c r="Y17" s="7" t="str">
        <f>IF(WEEKDAY(Marketing!$D17,2)&lt;6,"Weekday","Weekend")</f>
        <v>Weekday</v>
      </c>
    </row>
    <row r="18" spans="1:25" x14ac:dyDescent="0.35">
      <c r="A18" s="5">
        <v>17</v>
      </c>
      <c r="B18" s="5" t="str">
        <f>TEXT(Marketing!$D18,"MMMM")</f>
        <v>February</v>
      </c>
      <c r="C18" s="5" t="str">
        <f>TEXT(Marketing!$D18,"DDDD")</f>
        <v>Tuesday</v>
      </c>
      <c r="D18" s="6">
        <v>44229</v>
      </c>
      <c r="E18" s="5" t="s">
        <v>8</v>
      </c>
      <c r="F18" s="5" t="s">
        <v>2</v>
      </c>
      <c r="G18" s="5">
        <v>9034945</v>
      </c>
      <c r="H18" s="5">
        <v>540200</v>
      </c>
      <c r="I18" s="12">
        <v>29081.1</v>
      </c>
      <c r="J18" s="5">
        <v>2701</v>
      </c>
      <c r="K18" s="5">
        <v>54</v>
      </c>
      <c r="L18" s="5">
        <v>9</v>
      </c>
      <c r="M18" s="12">
        <v>45585</v>
      </c>
      <c r="N18" s="14">
        <v>5.6751292076296991E-3</v>
      </c>
      <c r="O18" s="16">
        <v>5.0000000000000002E-5</v>
      </c>
      <c r="P18" s="18">
        <v>1.9992595335061088E-4</v>
      </c>
      <c r="Q18" s="16">
        <v>1.6666666666666666E-3</v>
      </c>
      <c r="R18" s="12">
        <f>IF(Marketing!$L18=0, 0, Marketing!$M18/Marketing!$L18)</f>
        <v>5065</v>
      </c>
      <c r="S18" s="12">
        <f>IF(Marketing!$J18=0,0,Marketing!$I18/Marketing!$J18)</f>
        <v>10.766790077748981</v>
      </c>
      <c r="T18" s="12">
        <f>IF(Marketing!$K18=0,0,Marketing!$I18/Marketing!$K18)</f>
        <v>538.53888888888889</v>
      </c>
      <c r="U18" s="12">
        <f>Marketing!$M18 - Marketing!$I18</f>
        <v>16503.900000000001</v>
      </c>
      <c r="V18" s="12">
        <f>IF(Marketing!$L18=0,0,Marketing!$I18/Marketing!$L18)</f>
        <v>3231.2333333333331</v>
      </c>
      <c r="W18" s="5" t="str">
        <f>IF(ISNUMBER(SEARCH("tier1",Marketing!$E18)),"Tier 1","Tier 2")</f>
        <v>Tier 1</v>
      </c>
      <c r="X18" s="5" t="str">
        <f t="shared" si="0"/>
        <v>Tier 1</v>
      </c>
      <c r="Y18" s="5" t="str">
        <f>IF(WEEKDAY(Marketing!$D18,2)&lt;6,"Weekday","Weekend")</f>
        <v>Weekday</v>
      </c>
    </row>
    <row r="19" spans="1:25" x14ac:dyDescent="0.35">
      <c r="A19" s="7">
        <v>18</v>
      </c>
      <c r="B19" s="7" t="str">
        <f>TEXT(Marketing!$D19,"MMMM")</f>
        <v>February</v>
      </c>
      <c r="C19" s="7" t="str">
        <f>TEXT(Marketing!$D19,"DDDD")</f>
        <v>Tuesday</v>
      </c>
      <c r="D19" s="8">
        <v>44229</v>
      </c>
      <c r="E19" s="7" t="s">
        <v>9</v>
      </c>
      <c r="F19" s="7" t="s">
        <v>2</v>
      </c>
      <c r="G19" s="7">
        <v>983498</v>
      </c>
      <c r="H19" s="7">
        <v>1020800</v>
      </c>
      <c r="I19" s="13">
        <v>1421.34</v>
      </c>
      <c r="J19" s="7">
        <v>5104</v>
      </c>
      <c r="K19" s="7">
        <v>14</v>
      </c>
      <c r="L19" s="7">
        <v>0</v>
      </c>
      <c r="M19" s="13">
        <v>0</v>
      </c>
      <c r="N19" s="15">
        <v>-0.01</v>
      </c>
      <c r="O19" s="16">
        <v>5.0000000000000002E-5</v>
      </c>
      <c r="P19" s="18">
        <v>2.7429467084639498E-5</v>
      </c>
      <c r="Q19" s="16">
        <v>0</v>
      </c>
      <c r="R19" s="13">
        <f>IF(Marketing!$L19=0, 0, Marketing!$M19/Marketing!$L19)</f>
        <v>0</v>
      </c>
      <c r="S19" s="13">
        <f>IF(Marketing!$J19=0,0,Marketing!$I19/Marketing!$J19)</f>
        <v>0.27847570532915361</v>
      </c>
      <c r="T19" s="13">
        <f>IF(Marketing!$K19=0,0,Marketing!$I19/Marketing!$K19)</f>
        <v>101.52428571428571</v>
      </c>
      <c r="U19" s="13">
        <f>Marketing!$M19 - Marketing!$I19</f>
        <v>-1421.34</v>
      </c>
      <c r="V19" s="13">
        <f>IF(Marketing!$L19=0,0,Marketing!$I19/Marketing!$L19)</f>
        <v>0</v>
      </c>
      <c r="W19" s="7" t="str">
        <f>IF(ISNUMBER(SEARCH("tier1",Marketing!$E19)),"Tier 1","Tier 2")</f>
        <v>Tier 2</v>
      </c>
      <c r="X19" s="7" t="str">
        <f t="shared" si="0"/>
        <v>Tier 2</v>
      </c>
      <c r="Y19" s="7" t="str">
        <f>IF(WEEKDAY(Marketing!$D19,2)&lt;6,"Weekday","Weekend")</f>
        <v>Weekday</v>
      </c>
    </row>
    <row r="20" spans="1:25" x14ac:dyDescent="0.35">
      <c r="A20" s="5">
        <v>19</v>
      </c>
      <c r="B20" s="5" t="str">
        <f>TEXT(Marketing!$D20,"MMMM")</f>
        <v>February</v>
      </c>
      <c r="C20" s="5" t="str">
        <f>TEXT(Marketing!$D20,"DDDD")</f>
        <v>Tuesday</v>
      </c>
      <c r="D20" s="6">
        <v>44229</v>
      </c>
      <c r="E20" s="5" t="s">
        <v>10</v>
      </c>
      <c r="F20" s="5" t="s">
        <v>2</v>
      </c>
      <c r="G20" s="5">
        <v>4387490</v>
      </c>
      <c r="H20" s="5">
        <v>10033</v>
      </c>
      <c r="I20" s="12">
        <v>169.75</v>
      </c>
      <c r="J20" s="5">
        <v>301</v>
      </c>
      <c r="K20" s="5">
        <v>0</v>
      </c>
      <c r="L20" s="5">
        <v>0</v>
      </c>
      <c r="M20" s="12">
        <v>0</v>
      </c>
      <c r="N20" s="14">
        <v>-0.01</v>
      </c>
      <c r="O20" s="16">
        <v>3.000099671085418E-4</v>
      </c>
      <c r="P20" s="18">
        <v>0</v>
      </c>
      <c r="Q20" s="16">
        <v>0</v>
      </c>
      <c r="R20" s="12">
        <f>IF(Marketing!$L20=0, 0, Marketing!$M20/Marketing!$L20)</f>
        <v>0</v>
      </c>
      <c r="S20" s="12">
        <f>IF(Marketing!$J20=0,0,Marketing!$I20/Marketing!$J20)</f>
        <v>0.56395348837209303</v>
      </c>
      <c r="T20" s="12">
        <f>IF(Marketing!$K20=0,0,Marketing!$I20/Marketing!$K20)</f>
        <v>0</v>
      </c>
      <c r="U20" s="12">
        <f>Marketing!$M20 - Marketing!$I20</f>
        <v>-169.75</v>
      </c>
      <c r="V20" s="12">
        <f>IF(Marketing!$L20=0,0,Marketing!$I20/Marketing!$L20)</f>
        <v>0</v>
      </c>
      <c r="W20" s="5" t="str">
        <f>IF(ISNUMBER(SEARCH("tier1",Marketing!$E20)),"Tier 1","Tier 2")</f>
        <v>Tier 2</v>
      </c>
      <c r="X20" s="5" t="str">
        <f t="shared" si="0"/>
        <v>Tier 2</v>
      </c>
      <c r="Y20" s="5" t="str">
        <f>IF(WEEKDAY(Marketing!$D20,2)&lt;6,"Weekday","Weekend")</f>
        <v>Weekday</v>
      </c>
    </row>
    <row r="21" spans="1:25" x14ac:dyDescent="0.35">
      <c r="A21" s="7">
        <v>20</v>
      </c>
      <c r="B21" s="7" t="str">
        <f>TEXT(Marketing!$D21,"MMMM")</f>
        <v>February</v>
      </c>
      <c r="C21" s="7" t="str">
        <f>TEXT(Marketing!$D21,"DDDD")</f>
        <v>Tuesday</v>
      </c>
      <c r="D21" s="8">
        <v>44229</v>
      </c>
      <c r="E21" s="7" t="s">
        <v>11</v>
      </c>
      <c r="F21" s="7" t="s">
        <v>2</v>
      </c>
      <c r="G21" s="7">
        <v>544756</v>
      </c>
      <c r="H21" s="7">
        <v>107553</v>
      </c>
      <c r="I21" s="13">
        <v>8829.07</v>
      </c>
      <c r="J21" s="7">
        <v>1196</v>
      </c>
      <c r="K21" s="7">
        <v>7</v>
      </c>
      <c r="L21" s="7">
        <v>1</v>
      </c>
      <c r="M21" s="13">
        <v>1129</v>
      </c>
      <c r="N21" s="15">
        <v>-8.721269624094044E-3</v>
      </c>
      <c r="O21" s="16">
        <v>1.1120098927970397E-4</v>
      </c>
      <c r="P21" s="18">
        <v>5.8528428093645479E-5</v>
      </c>
      <c r="Q21" s="16">
        <v>1.4285714285714286E-3</v>
      </c>
      <c r="R21" s="13">
        <f>IF(Marketing!$L21=0, 0, Marketing!$M21/Marketing!$L21)</f>
        <v>1129</v>
      </c>
      <c r="S21" s="13">
        <f>IF(Marketing!$J21=0,0,Marketing!$I21/Marketing!$J21)</f>
        <v>7.3821655518394644</v>
      </c>
      <c r="T21" s="13">
        <f>IF(Marketing!$K21=0,0,Marketing!$I21/Marketing!$K21)</f>
        <v>1261.2957142857142</v>
      </c>
      <c r="U21" s="13">
        <f>Marketing!$M21 - Marketing!$I21</f>
        <v>-7700.07</v>
      </c>
      <c r="V21" s="13">
        <f>IF(Marketing!$L21=0,0,Marketing!$I21/Marketing!$L21)</f>
        <v>8829.07</v>
      </c>
      <c r="W21" s="7" t="str">
        <f>IF(ISNUMBER(SEARCH("tier1",Marketing!$E21)),"Tier 1","Tier 2")</f>
        <v>Tier 2</v>
      </c>
      <c r="X21" s="7" t="str">
        <f t="shared" si="0"/>
        <v>Tier 2</v>
      </c>
      <c r="Y21" s="7" t="str">
        <f>IF(WEEKDAY(Marketing!$D21,2)&lt;6,"Weekday","Weekend")</f>
        <v>Weekday</v>
      </c>
    </row>
    <row r="22" spans="1:25" x14ac:dyDescent="0.35">
      <c r="A22" s="5">
        <v>21</v>
      </c>
      <c r="B22" s="5" t="str">
        <f>TEXT(Marketing!$D22,"MMMM")</f>
        <v>February</v>
      </c>
      <c r="C22" s="5" t="str">
        <f>TEXT(Marketing!$D22,"DDDD")</f>
        <v>Tuesday</v>
      </c>
      <c r="D22" s="6">
        <v>44229</v>
      </c>
      <c r="E22" s="5" t="s">
        <v>12</v>
      </c>
      <c r="F22" s="5" t="s">
        <v>7</v>
      </c>
      <c r="G22" s="5">
        <v>374754</v>
      </c>
      <c r="H22" s="5">
        <v>299600</v>
      </c>
      <c r="I22" s="12">
        <v>13919.1</v>
      </c>
      <c r="J22" s="5">
        <v>2996</v>
      </c>
      <c r="K22" s="5">
        <v>19</v>
      </c>
      <c r="L22" s="5">
        <v>3</v>
      </c>
      <c r="M22" s="12">
        <v>14466</v>
      </c>
      <c r="N22" s="14">
        <v>3.9291333491389501E-4</v>
      </c>
      <c r="O22" s="16">
        <v>1E-4</v>
      </c>
      <c r="P22" s="18">
        <v>6.341789052069426E-5</v>
      </c>
      <c r="Q22" s="16">
        <v>1.5789473684210526E-3</v>
      </c>
      <c r="R22" s="12">
        <f>IF(Marketing!$L22=0, 0, Marketing!$M22/Marketing!$L22)</f>
        <v>4822</v>
      </c>
      <c r="S22" s="12">
        <f>IF(Marketing!$J22=0,0,Marketing!$I22/Marketing!$J22)</f>
        <v>4.6458945260347129</v>
      </c>
      <c r="T22" s="12">
        <f>IF(Marketing!$K22=0,0,Marketing!$I22/Marketing!$K22)</f>
        <v>732.58421052631581</v>
      </c>
      <c r="U22" s="12">
        <f>Marketing!$M22 - Marketing!$I22</f>
        <v>546.89999999999964</v>
      </c>
      <c r="V22" s="12">
        <f>IF(Marketing!$L22=0,0,Marketing!$I22/Marketing!$L22)</f>
        <v>4639.7</v>
      </c>
      <c r="W22" s="5" t="str">
        <f>IF(ISNUMBER(SEARCH("tier1",Marketing!$E22)),"Tier 1","Tier 2")</f>
        <v>Tier 2</v>
      </c>
      <c r="X22" s="5" t="str">
        <f t="shared" si="0"/>
        <v>Tier 2</v>
      </c>
      <c r="Y22" s="5" t="str">
        <f>IF(WEEKDAY(Marketing!$D22,2)&lt;6,"Weekday","Weekend")</f>
        <v>Weekday</v>
      </c>
    </row>
    <row r="23" spans="1:25" x14ac:dyDescent="0.35">
      <c r="A23" s="7">
        <v>22</v>
      </c>
      <c r="B23" s="7" t="str">
        <f>TEXT(Marketing!$D23,"MMMM")</f>
        <v>February</v>
      </c>
      <c r="C23" s="7" t="str">
        <f>TEXT(Marketing!$D23,"DDDD")</f>
        <v>Tuesday</v>
      </c>
      <c r="D23" s="8">
        <v>44229</v>
      </c>
      <c r="E23" s="7" t="s">
        <v>13</v>
      </c>
      <c r="F23" s="7" t="s">
        <v>14</v>
      </c>
      <c r="G23" s="7">
        <v>39889</v>
      </c>
      <c r="H23" s="7">
        <v>42000000</v>
      </c>
      <c r="I23" s="13">
        <v>46159.8</v>
      </c>
      <c r="J23" s="7">
        <v>4200</v>
      </c>
      <c r="K23" s="7">
        <v>92</v>
      </c>
      <c r="L23" s="7">
        <v>13</v>
      </c>
      <c r="M23" s="13">
        <v>51753</v>
      </c>
      <c r="N23" s="15">
        <v>1.2117036902239604E-3</v>
      </c>
      <c r="O23" s="16">
        <v>9.9999999999999995E-7</v>
      </c>
      <c r="P23" s="18">
        <v>2.1904761904761907E-4</v>
      </c>
      <c r="Q23" s="16">
        <v>1.4130434782608694E-3</v>
      </c>
      <c r="R23" s="13">
        <f>IF(Marketing!$L23=0, 0, Marketing!$M23/Marketing!$L23)</f>
        <v>3981</v>
      </c>
      <c r="S23" s="13">
        <f>IF(Marketing!$J23=0,0,Marketing!$I23/Marketing!$J23)</f>
        <v>10.990428571428572</v>
      </c>
      <c r="T23" s="13">
        <f>IF(Marketing!$K23=0,0,Marketing!$I23/Marketing!$K23)</f>
        <v>501.73695652173916</v>
      </c>
      <c r="U23" s="13">
        <f>Marketing!$M23 - Marketing!$I23</f>
        <v>5593.1999999999971</v>
      </c>
      <c r="V23" s="13">
        <f>IF(Marketing!$L23=0,0,Marketing!$I23/Marketing!$L23)</f>
        <v>3550.7538461538466</v>
      </c>
      <c r="W23" s="7" t="str">
        <f>IF(ISNUMBER(SEARCH("tier1",Marketing!$E23)),"Tier 1","Tier 2")</f>
        <v>Tier 2</v>
      </c>
      <c r="X23" s="7" t="str">
        <f t="shared" si="0"/>
        <v>Tier 2</v>
      </c>
      <c r="Y23" s="7" t="str">
        <f>IF(WEEKDAY(Marketing!$D23,2)&lt;6,"Weekday","Weekend")</f>
        <v>Weekday</v>
      </c>
    </row>
    <row r="24" spans="1:25" x14ac:dyDescent="0.35">
      <c r="A24" s="5">
        <v>23</v>
      </c>
      <c r="B24" s="5" t="str">
        <f>TEXT(Marketing!$D24,"MMMM")</f>
        <v>February</v>
      </c>
      <c r="C24" s="5" t="str">
        <f>TEXT(Marketing!$D24,"DDDD")</f>
        <v>Wednesday</v>
      </c>
      <c r="D24" s="6">
        <v>44230</v>
      </c>
      <c r="E24" s="5" t="s">
        <v>1</v>
      </c>
      <c r="F24" s="5" t="s">
        <v>2</v>
      </c>
      <c r="G24" s="5">
        <v>349043</v>
      </c>
      <c r="H24" s="5">
        <v>2313889</v>
      </c>
      <c r="I24" s="12">
        <v>65284.4</v>
      </c>
      <c r="J24" s="5">
        <v>7197</v>
      </c>
      <c r="K24" s="5">
        <v>115</v>
      </c>
      <c r="L24" s="5">
        <v>13</v>
      </c>
      <c r="M24" s="12">
        <v>72527</v>
      </c>
      <c r="N24" s="14">
        <v>1.1093921365594229E-3</v>
      </c>
      <c r="O24" s="16">
        <v>3.1103479898992564E-5</v>
      </c>
      <c r="P24" s="18">
        <v>1.5978880088925941E-4</v>
      </c>
      <c r="Q24" s="16">
        <v>1.1304347826086956E-3</v>
      </c>
      <c r="R24" s="12">
        <f>IF(Marketing!$L24=0, 0, Marketing!$M24/Marketing!$L24)</f>
        <v>5579</v>
      </c>
      <c r="S24" s="12">
        <f>IF(Marketing!$J24=0,0,Marketing!$I24/Marketing!$J24)</f>
        <v>9.0710573850215361</v>
      </c>
      <c r="T24" s="12">
        <f>IF(Marketing!$K24=0,0,Marketing!$I24/Marketing!$K24)</f>
        <v>567.69043478260869</v>
      </c>
      <c r="U24" s="12">
        <f>Marketing!$M24 - Marketing!$I24</f>
        <v>7242.5999999999985</v>
      </c>
      <c r="V24" s="12">
        <f>IF(Marketing!$L24=0,0,Marketing!$I24/Marketing!$L24)</f>
        <v>5021.876923076923</v>
      </c>
      <c r="W24" s="5" t="str">
        <f>IF(ISNUMBER(SEARCH("tier1",Marketing!$E24)),"Tier 1","Tier 2")</f>
        <v>Tier 1</v>
      </c>
      <c r="X24" s="5" t="str">
        <f t="shared" si="0"/>
        <v>Tier 1</v>
      </c>
      <c r="Y24" s="5" t="str">
        <f>IF(WEEKDAY(Marketing!$D24,2)&lt;6,"Weekday","Weekend")</f>
        <v>Weekday</v>
      </c>
    </row>
    <row r="25" spans="1:25" x14ac:dyDescent="0.35">
      <c r="A25" s="7">
        <v>24</v>
      </c>
      <c r="B25" s="7" t="str">
        <f>TEXT(Marketing!$D25,"MMMM")</f>
        <v>February</v>
      </c>
      <c r="C25" s="7" t="str">
        <f>TEXT(Marketing!$D25,"DDDD")</f>
        <v>Wednesday</v>
      </c>
      <c r="D25" s="8">
        <v>44230</v>
      </c>
      <c r="E25" s="7" t="s">
        <v>67</v>
      </c>
      <c r="F25" s="7" t="s">
        <v>2</v>
      </c>
      <c r="G25" s="7">
        <v>348934</v>
      </c>
      <c r="H25" s="7">
        <v>1105666</v>
      </c>
      <c r="I25" s="13">
        <v>78958.3</v>
      </c>
      <c r="J25" s="7">
        <v>9898</v>
      </c>
      <c r="K25" s="7">
        <v>226</v>
      </c>
      <c r="L25" s="7">
        <v>12</v>
      </c>
      <c r="M25" s="13">
        <v>59772</v>
      </c>
      <c r="N25" s="15">
        <v>-2.4299282026082124E-3</v>
      </c>
      <c r="O25" s="16">
        <v>8.9520705167745048E-5</v>
      </c>
      <c r="P25" s="18">
        <v>2.2832895534451406E-4</v>
      </c>
      <c r="Q25" s="16">
        <v>5.3097345132743366E-4</v>
      </c>
      <c r="R25" s="13">
        <f>IF(Marketing!$L25=0, 0, Marketing!$M25/Marketing!$L25)</f>
        <v>4981</v>
      </c>
      <c r="S25" s="13">
        <f>IF(Marketing!$J25=0,0,Marketing!$I25/Marketing!$J25)</f>
        <v>7.9771974136189128</v>
      </c>
      <c r="T25" s="13">
        <f>IF(Marketing!$K25=0,0,Marketing!$I25/Marketing!$K25)</f>
        <v>349.37300884955755</v>
      </c>
      <c r="U25" s="13">
        <f>Marketing!$M25 - Marketing!$I25</f>
        <v>-19186.300000000003</v>
      </c>
      <c r="V25" s="13">
        <f>IF(Marketing!$L25=0,0,Marketing!$I25/Marketing!$L25)</f>
        <v>6579.8583333333336</v>
      </c>
      <c r="W25" s="7" t="str">
        <f>IF(ISNUMBER(SEARCH("tier1",Marketing!$E25)),"Tier 1","Tier 2")</f>
        <v>Tier 2</v>
      </c>
      <c r="X25" s="7" t="str">
        <f t="shared" si="0"/>
        <v>Tier 2</v>
      </c>
      <c r="Y25" s="7" t="str">
        <f>IF(WEEKDAY(Marketing!$D25,2)&lt;6,"Weekday","Weekend")</f>
        <v>Weekday</v>
      </c>
    </row>
    <row r="26" spans="1:25" x14ac:dyDescent="0.35">
      <c r="A26" s="5">
        <v>25</v>
      </c>
      <c r="B26" s="5" t="str">
        <f>TEXT(Marketing!$D26,"MMMM")</f>
        <v>February</v>
      </c>
      <c r="C26" s="5" t="str">
        <f>TEXT(Marketing!$D26,"DDDD")</f>
        <v>Wednesday</v>
      </c>
      <c r="D26" s="6">
        <v>44230</v>
      </c>
      <c r="E26" s="5" t="s">
        <v>3</v>
      </c>
      <c r="F26" s="5" t="s">
        <v>4</v>
      </c>
      <c r="G26" s="5">
        <v>89459845</v>
      </c>
      <c r="H26" s="5">
        <v>134900</v>
      </c>
      <c r="I26" s="12">
        <v>77345.5</v>
      </c>
      <c r="J26" s="5">
        <v>2698</v>
      </c>
      <c r="K26" s="5">
        <v>84</v>
      </c>
      <c r="L26" s="5">
        <v>16</v>
      </c>
      <c r="M26" s="12">
        <v>115856</v>
      </c>
      <c r="N26" s="14">
        <v>4.9790226968601924E-3</v>
      </c>
      <c r="O26" s="16">
        <v>2.0000000000000001E-4</v>
      </c>
      <c r="P26" s="18">
        <v>3.1134173461823574E-4</v>
      </c>
      <c r="Q26" s="16">
        <v>1.9047619047619048E-3</v>
      </c>
      <c r="R26" s="12">
        <f>IF(Marketing!$L26=0, 0, Marketing!$M26/Marketing!$L26)</f>
        <v>7241</v>
      </c>
      <c r="S26" s="12">
        <f>IF(Marketing!$J26=0,0,Marketing!$I26/Marketing!$J26)</f>
        <v>28.667716827279467</v>
      </c>
      <c r="T26" s="12">
        <f>IF(Marketing!$K26=0,0,Marketing!$I26/Marketing!$K26)</f>
        <v>920.77976190476193</v>
      </c>
      <c r="U26" s="12">
        <f>Marketing!$M26 - Marketing!$I26</f>
        <v>38510.5</v>
      </c>
      <c r="V26" s="12">
        <f>IF(Marketing!$L26=0,0,Marketing!$I26/Marketing!$L26)</f>
        <v>4834.09375</v>
      </c>
      <c r="W26" s="5" t="str">
        <f>IF(ISNUMBER(SEARCH("tier1",Marketing!$E26)),"Tier 1","Tier 2")</f>
        <v>Tier 2</v>
      </c>
      <c r="X26" s="5" t="str">
        <f t="shared" si="0"/>
        <v>Tier 2</v>
      </c>
      <c r="Y26" s="5" t="str">
        <f>IF(WEEKDAY(Marketing!$D26,2)&lt;6,"Weekday","Weekend")</f>
        <v>Weekday</v>
      </c>
    </row>
    <row r="27" spans="1:25" x14ac:dyDescent="0.35">
      <c r="A27" s="7">
        <v>26</v>
      </c>
      <c r="B27" s="7" t="str">
        <f>TEXT(Marketing!$D27,"MMMM")</f>
        <v>February</v>
      </c>
      <c r="C27" s="7" t="str">
        <f>TEXT(Marketing!$D27,"DDDD")</f>
        <v>Wednesday</v>
      </c>
      <c r="D27" s="8">
        <v>44230</v>
      </c>
      <c r="E27" s="7" t="s">
        <v>5</v>
      </c>
      <c r="F27" s="7" t="s">
        <v>4</v>
      </c>
      <c r="G27" s="7">
        <v>127823</v>
      </c>
      <c r="H27" s="7">
        <v>4371854</v>
      </c>
      <c r="I27" s="13">
        <v>49498.9</v>
      </c>
      <c r="J27" s="7">
        <v>7207</v>
      </c>
      <c r="K27" s="7">
        <v>144</v>
      </c>
      <c r="L27" s="7">
        <v>13</v>
      </c>
      <c r="M27" s="13">
        <v>38753</v>
      </c>
      <c r="N27" s="15">
        <v>-2.1709371319362657E-3</v>
      </c>
      <c r="O27" s="16">
        <v>1.6484996982973358E-5</v>
      </c>
      <c r="P27" s="18">
        <v>1.9980574441515195E-4</v>
      </c>
      <c r="Q27" s="16">
        <v>9.0277777777777774E-4</v>
      </c>
      <c r="R27" s="13">
        <f>IF(Marketing!$L27=0, 0, Marketing!$M27/Marketing!$L27)</f>
        <v>2981</v>
      </c>
      <c r="S27" s="13">
        <f>IF(Marketing!$J27=0,0,Marketing!$I27/Marketing!$J27)</f>
        <v>6.8681698348827531</v>
      </c>
      <c r="T27" s="13">
        <f>IF(Marketing!$K27=0,0,Marketing!$I27/Marketing!$K27)</f>
        <v>343.74236111111111</v>
      </c>
      <c r="U27" s="13">
        <f>Marketing!$M27 - Marketing!$I27</f>
        <v>-10745.900000000001</v>
      </c>
      <c r="V27" s="13">
        <f>IF(Marketing!$L27=0,0,Marketing!$I27/Marketing!$L27)</f>
        <v>3807.6076923076926</v>
      </c>
      <c r="W27" s="7" t="str">
        <f>IF(ISNUMBER(SEARCH("tier1",Marketing!$E27)),"Tier 1","Tier 2")</f>
        <v>Tier 2</v>
      </c>
      <c r="X27" s="7" t="str">
        <f t="shared" si="0"/>
        <v>Tier 2</v>
      </c>
      <c r="Y27" s="7" t="str">
        <f>IF(WEEKDAY(Marketing!$D27,2)&lt;6,"Weekday","Weekend")</f>
        <v>Weekday</v>
      </c>
    </row>
    <row r="28" spans="1:25" x14ac:dyDescent="0.35">
      <c r="A28" s="5">
        <v>27</v>
      </c>
      <c r="B28" s="5" t="str">
        <f>TEXT(Marketing!$D28,"MMMM")</f>
        <v>February</v>
      </c>
      <c r="C28" s="5" t="str">
        <f>TEXT(Marketing!$D28,"DDDD")</f>
        <v>Wednesday</v>
      </c>
      <c r="D28" s="6">
        <v>44230</v>
      </c>
      <c r="E28" s="5" t="s">
        <v>6</v>
      </c>
      <c r="F28" s="5" t="s">
        <v>7</v>
      </c>
      <c r="G28" s="5">
        <v>10934</v>
      </c>
      <c r="H28" s="5">
        <v>1035261</v>
      </c>
      <c r="I28" s="12">
        <v>189341</v>
      </c>
      <c r="J28" s="5">
        <v>13503</v>
      </c>
      <c r="K28" s="5">
        <v>455</v>
      </c>
      <c r="L28" s="5">
        <v>91</v>
      </c>
      <c r="M28" s="12">
        <v>772499</v>
      </c>
      <c r="N28" s="14">
        <v>3.0799351434713032E-2</v>
      </c>
      <c r="O28" s="16">
        <v>1.3043087685134474E-4</v>
      </c>
      <c r="P28" s="18">
        <v>3.3696215655780194E-4</v>
      </c>
      <c r="Q28" s="16">
        <v>2E-3</v>
      </c>
      <c r="R28" s="12">
        <f>IF(Marketing!$L28=0, 0, Marketing!$M28/Marketing!$L28)</f>
        <v>8489</v>
      </c>
      <c r="S28" s="12">
        <f>IF(Marketing!$J28=0,0,Marketing!$I28/Marketing!$J28)</f>
        <v>14.022143227430941</v>
      </c>
      <c r="T28" s="12">
        <f>IF(Marketing!$K28=0,0,Marketing!$I28/Marketing!$K28)</f>
        <v>416.13406593406592</v>
      </c>
      <c r="U28" s="12">
        <f>Marketing!$M28 - Marketing!$I28</f>
        <v>583158</v>
      </c>
      <c r="V28" s="12">
        <f>IF(Marketing!$L28=0,0,Marketing!$I28/Marketing!$L28)</f>
        <v>2080.6703296703295</v>
      </c>
      <c r="W28" s="5" t="str">
        <f>IF(ISNUMBER(SEARCH("tier1",Marketing!$E28)),"Tier 1","Tier 2")</f>
        <v>Tier 2</v>
      </c>
      <c r="X28" s="5" t="str">
        <f t="shared" si="0"/>
        <v>Tier 2</v>
      </c>
      <c r="Y28" s="5" t="str">
        <f>IF(WEEKDAY(Marketing!$D28,2)&lt;6,"Weekday","Weekend")</f>
        <v>Weekday</v>
      </c>
    </row>
    <row r="29" spans="1:25" x14ac:dyDescent="0.35">
      <c r="A29" s="7">
        <v>28</v>
      </c>
      <c r="B29" s="7" t="str">
        <f>TEXT(Marketing!$D29,"MMMM")</f>
        <v>February</v>
      </c>
      <c r="C29" s="7" t="str">
        <f>TEXT(Marketing!$D29,"DDDD")</f>
        <v>Wednesday</v>
      </c>
      <c r="D29" s="8">
        <v>44230</v>
      </c>
      <c r="E29" s="7" t="s">
        <v>8</v>
      </c>
      <c r="F29" s="7" t="s">
        <v>2</v>
      </c>
      <c r="G29" s="7">
        <v>9034945</v>
      </c>
      <c r="H29" s="7">
        <v>1618600</v>
      </c>
      <c r="I29" s="13">
        <v>62509.8</v>
      </c>
      <c r="J29" s="7">
        <v>8093</v>
      </c>
      <c r="K29" s="7">
        <v>166</v>
      </c>
      <c r="L29" s="7">
        <v>15</v>
      </c>
      <c r="M29" s="13">
        <v>84600</v>
      </c>
      <c r="N29" s="15">
        <v>3.5338778879471693E-3</v>
      </c>
      <c r="O29" s="16">
        <v>5.0000000000000002E-5</v>
      </c>
      <c r="P29" s="18">
        <v>2.0511553194118372E-4</v>
      </c>
      <c r="Q29" s="16">
        <v>9.0361445783132533E-4</v>
      </c>
      <c r="R29" s="13">
        <f>IF(Marketing!$L29=0, 0, Marketing!$M29/Marketing!$L29)</f>
        <v>5640</v>
      </c>
      <c r="S29" s="13">
        <f>IF(Marketing!$J29=0,0,Marketing!$I29/Marketing!$J29)</f>
        <v>7.7239342641789204</v>
      </c>
      <c r="T29" s="13">
        <f>IF(Marketing!$K29=0,0,Marketing!$I29/Marketing!$K29)</f>
        <v>376.56506024096387</v>
      </c>
      <c r="U29" s="13">
        <f>Marketing!$M29 - Marketing!$I29</f>
        <v>22090.199999999997</v>
      </c>
      <c r="V29" s="13">
        <f>IF(Marketing!$L29=0,0,Marketing!$I29/Marketing!$L29)</f>
        <v>4167.3200000000006</v>
      </c>
      <c r="W29" s="7" t="str">
        <f>IF(ISNUMBER(SEARCH("tier1",Marketing!$E29)),"Tier 1","Tier 2")</f>
        <v>Tier 1</v>
      </c>
      <c r="X29" s="7" t="str">
        <f t="shared" si="0"/>
        <v>Tier 1</v>
      </c>
      <c r="Y29" s="7" t="str">
        <f>IF(WEEKDAY(Marketing!$D29,2)&lt;6,"Weekday","Weekend")</f>
        <v>Weekday</v>
      </c>
    </row>
    <row r="30" spans="1:25" x14ac:dyDescent="0.35">
      <c r="A30" s="5">
        <v>29</v>
      </c>
      <c r="B30" s="5" t="str">
        <f>TEXT(Marketing!$D30,"MMMM")</f>
        <v>February</v>
      </c>
      <c r="C30" s="5" t="str">
        <f>TEXT(Marketing!$D30,"DDDD")</f>
        <v>Wednesday</v>
      </c>
      <c r="D30" s="6">
        <v>44230</v>
      </c>
      <c r="E30" s="5" t="s">
        <v>9</v>
      </c>
      <c r="F30" s="5" t="s">
        <v>2</v>
      </c>
      <c r="G30" s="5">
        <v>983498</v>
      </c>
      <c r="H30" s="5">
        <v>3059600</v>
      </c>
      <c r="I30" s="12">
        <v>94399.9</v>
      </c>
      <c r="J30" s="5">
        <v>15298</v>
      </c>
      <c r="K30" s="5">
        <v>592</v>
      </c>
      <c r="L30" s="5">
        <v>36</v>
      </c>
      <c r="M30" s="12">
        <v>104184</v>
      </c>
      <c r="N30" s="14">
        <v>1.0364523691232732E-3</v>
      </c>
      <c r="O30" s="16">
        <v>5.0000000000000002E-5</v>
      </c>
      <c r="P30" s="18">
        <v>3.869786900248399E-4</v>
      </c>
      <c r="Q30" s="16">
        <v>6.0810810810810819E-4</v>
      </c>
      <c r="R30" s="12">
        <f>IF(Marketing!$L30=0, 0, Marketing!$M30/Marketing!$L30)</f>
        <v>2894</v>
      </c>
      <c r="S30" s="12">
        <f>IF(Marketing!$J30=0,0,Marketing!$I30/Marketing!$J30)</f>
        <v>6.170734736566871</v>
      </c>
      <c r="T30" s="12">
        <f>IF(Marketing!$K30=0,0,Marketing!$I30/Marketing!$K30)</f>
        <v>159.45929054054054</v>
      </c>
      <c r="U30" s="12">
        <f>Marketing!$M30 - Marketing!$I30</f>
        <v>9784.1000000000058</v>
      </c>
      <c r="V30" s="12">
        <f>IF(Marketing!$L30=0,0,Marketing!$I30/Marketing!$L30)</f>
        <v>2622.2194444444444</v>
      </c>
      <c r="W30" s="5" t="str">
        <f>IF(ISNUMBER(SEARCH("tier1",Marketing!$E30)),"Tier 1","Tier 2")</f>
        <v>Tier 2</v>
      </c>
      <c r="X30" s="5" t="str">
        <f t="shared" si="0"/>
        <v>Tier 2</v>
      </c>
      <c r="Y30" s="5" t="str">
        <f>IF(WEEKDAY(Marketing!$D30,2)&lt;6,"Weekday","Weekend")</f>
        <v>Weekday</v>
      </c>
    </row>
    <row r="31" spans="1:25" x14ac:dyDescent="0.35">
      <c r="A31" s="7">
        <v>30</v>
      </c>
      <c r="B31" s="7" t="str">
        <f>TEXT(Marketing!$D31,"MMMM")</f>
        <v>February</v>
      </c>
      <c r="C31" s="7" t="str">
        <f>TEXT(Marketing!$D31,"DDDD")</f>
        <v>Wednesday</v>
      </c>
      <c r="D31" s="8">
        <v>44230</v>
      </c>
      <c r="E31" s="7" t="s">
        <v>10</v>
      </c>
      <c r="F31" s="7" t="s">
        <v>2</v>
      </c>
      <c r="G31" s="7">
        <v>4387490</v>
      </c>
      <c r="H31" s="7">
        <v>29867</v>
      </c>
      <c r="I31" s="13">
        <v>5039.51</v>
      </c>
      <c r="J31" s="7">
        <v>896</v>
      </c>
      <c r="K31" s="7">
        <v>18</v>
      </c>
      <c r="L31" s="7">
        <v>4</v>
      </c>
      <c r="M31" s="13">
        <v>23560</v>
      </c>
      <c r="N31" s="15">
        <v>3.6750576941012116E-2</v>
      </c>
      <c r="O31" s="16">
        <v>2.9999665182308234E-4</v>
      </c>
      <c r="P31" s="18">
        <v>2.0089285714285717E-4</v>
      </c>
      <c r="Q31" s="16">
        <v>2.2222222222222222E-3</v>
      </c>
      <c r="R31" s="13">
        <f>IF(Marketing!$L31=0, 0, Marketing!$M31/Marketing!$L31)</f>
        <v>5890</v>
      </c>
      <c r="S31" s="13">
        <f>IF(Marketing!$J31=0,0,Marketing!$I31/Marketing!$J31)</f>
        <v>5.6244531250000005</v>
      </c>
      <c r="T31" s="13">
        <f>IF(Marketing!$K31=0,0,Marketing!$I31/Marketing!$K31)</f>
        <v>279.97277777777776</v>
      </c>
      <c r="U31" s="13">
        <f>Marketing!$M31 - Marketing!$I31</f>
        <v>18520.489999999998</v>
      </c>
      <c r="V31" s="13">
        <f>IF(Marketing!$L31=0,0,Marketing!$I31/Marketing!$L31)</f>
        <v>1259.8775000000001</v>
      </c>
      <c r="W31" s="7" t="str">
        <f>IF(ISNUMBER(SEARCH("tier1",Marketing!$E31)),"Tier 1","Tier 2")</f>
        <v>Tier 2</v>
      </c>
      <c r="X31" s="7" t="str">
        <f t="shared" si="0"/>
        <v>Tier 2</v>
      </c>
      <c r="Y31" s="7" t="str">
        <f>IF(WEEKDAY(Marketing!$D31,2)&lt;6,"Weekday","Weekend")</f>
        <v>Weekday</v>
      </c>
    </row>
    <row r="32" spans="1:25" x14ac:dyDescent="0.35">
      <c r="A32" s="5">
        <v>31</v>
      </c>
      <c r="B32" s="5" t="str">
        <f>TEXT(Marketing!$D32,"MMMM")</f>
        <v>February</v>
      </c>
      <c r="C32" s="5" t="str">
        <f>TEXT(Marketing!$D32,"DDDD")</f>
        <v>Wednesday</v>
      </c>
      <c r="D32" s="6">
        <v>44230</v>
      </c>
      <c r="E32" s="5" t="s">
        <v>11</v>
      </c>
      <c r="F32" s="5" t="s">
        <v>2</v>
      </c>
      <c r="G32" s="5">
        <v>544756</v>
      </c>
      <c r="H32" s="5">
        <v>295009</v>
      </c>
      <c r="I32" s="12">
        <v>76716.399999999994</v>
      </c>
      <c r="J32" s="5">
        <v>3595</v>
      </c>
      <c r="K32" s="5">
        <v>72</v>
      </c>
      <c r="L32" s="5">
        <v>9</v>
      </c>
      <c r="M32" s="12">
        <v>5607</v>
      </c>
      <c r="N32" s="14">
        <v>-9.2691262885119738E-3</v>
      </c>
      <c r="O32" s="16">
        <v>1.2186068899592894E-4</v>
      </c>
      <c r="P32" s="18">
        <v>2.0027816411682893E-4</v>
      </c>
      <c r="Q32" s="16">
        <v>1.25E-3</v>
      </c>
      <c r="R32" s="12">
        <f>IF(Marketing!$L32=0, 0, Marketing!$M32/Marketing!$L32)</f>
        <v>623</v>
      </c>
      <c r="S32" s="12">
        <f>IF(Marketing!$J32=0,0,Marketing!$I32/Marketing!$J32)</f>
        <v>21.339749652294852</v>
      </c>
      <c r="T32" s="12">
        <f>IF(Marketing!$K32=0,0,Marketing!$I32/Marketing!$K32)</f>
        <v>1065.5055555555555</v>
      </c>
      <c r="U32" s="12">
        <f>Marketing!$M32 - Marketing!$I32</f>
        <v>-71109.399999999994</v>
      </c>
      <c r="V32" s="12">
        <f>IF(Marketing!$L32=0,0,Marketing!$I32/Marketing!$L32)</f>
        <v>8524.0444444444438</v>
      </c>
      <c r="W32" s="5" t="str">
        <f>IF(ISNUMBER(SEARCH("tier1",Marketing!$E32)),"Tier 1","Tier 2")</f>
        <v>Tier 2</v>
      </c>
      <c r="X32" s="5" t="str">
        <f t="shared" si="0"/>
        <v>Tier 2</v>
      </c>
      <c r="Y32" s="5" t="str">
        <f>IF(WEEKDAY(Marketing!$D32,2)&lt;6,"Weekday","Weekend")</f>
        <v>Weekday</v>
      </c>
    </row>
    <row r="33" spans="1:25" x14ac:dyDescent="0.35">
      <c r="A33" s="7">
        <v>32</v>
      </c>
      <c r="B33" s="7" t="str">
        <f>TEXT(Marketing!$D33,"MMMM")</f>
        <v>February</v>
      </c>
      <c r="C33" s="7" t="str">
        <f>TEXT(Marketing!$D33,"DDDD")</f>
        <v>Wednesday</v>
      </c>
      <c r="D33" s="8">
        <v>44230</v>
      </c>
      <c r="E33" s="7" t="s">
        <v>12</v>
      </c>
      <c r="F33" s="7" t="s">
        <v>7</v>
      </c>
      <c r="G33" s="7">
        <v>374754</v>
      </c>
      <c r="H33" s="7">
        <v>667352</v>
      </c>
      <c r="I33" s="13">
        <v>194336</v>
      </c>
      <c r="J33" s="7">
        <v>8996</v>
      </c>
      <c r="K33" s="7">
        <v>342</v>
      </c>
      <c r="L33" s="7">
        <v>51</v>
      </c>
      <c r="M33" s="13">
        <v>254031</v>
      </c>
      <c r="N33" s="15">
        <v>3.0717417256710027E-3</v>
      </c>
      <c r="O33" s="16">
        <v>1.348014241359882E-4</v>
      </c>
      <c r="P33" s="18">
        <v>3.8016896398399285E-4</v>
      </c>
      <c r="Q33" s="16">
        <v>1.4912280701754384E-3</v>
      </c>
      <c r="R33" s="13">
        <f>IF(Marketing!$L33=0, 0, Marketing!$M33/Marketing!$L33)</f>
        <v>4981</v>
      </c>
      <c r="S33" s="13">
        <f>IF(Marketing!$J33=0,0,Marketing!$I33/Marketing!$J33)</f>
        <v>21.602489995553579</v>
      </c>
      <c r="T33" s="13">
        <f>IF(Marketing!$K33=0,0,Marketing!$I33/Marketing!$K33)</f>
        <v>568.23391812865498</v>
      </c>
      <c r="U33" s="13">
        <f>Marketing!$M33 - Marketing!$I33</f>
        <v>59695</v>
      </c>
      <c r="V33" s="13">
        <f>IF(Marketing!$L33=0,0,Marketing!$I33/Marketing!$L33)</f>
        <v>3810.5098039215686</v>
      </c>
      <c r="W33" s="7" t="str">
        <f>IF(ISNUMBER(SEARCH("tier1",Marketing!$E33)),"Tier 1","Tier 2")</f>
        <v>Tier 2</v>
      </c>
      <c r="X33" s="7" t="str">
        <f t="shared" si="0"/>
        <v>Tier 2</v>
      </c>
      <c r="Y33" s="7" t="str">
        <f>IF(WEEKDAY(Marketing!$D33,2)&lt;6,"Weekday","Weekend")</f>
        <v>Weekday</v>
      </c>
    </row>
    <row r="34" spans="1:25" x14ac:dyDescent="0.35">
      <c r="A34" s="5">
        <v>33</v>
      </c>
      <c r="B34" s="5" t="str">
        <f>TEXT(Marketing!$D34,"MMMM")</f>
        <v>February</v>
      </c>
      <c r="C34" s="5" t="str">
        <f>TEXT(Marketing!$D34,"DDDD")</f>
        <v>Wednesday</v>
      </c>
      <c r="D34" s="6">
        <v>44230</v>
      </c>
      <c r="E34" s="5" t="s">
        <v>13</v>
      </c>
      <c r="F34" s="5" t="s">
        <v>14</v>
      </c>
      <c r="G34" s="5">
        <v>39889</v>
      </c>
      <c r="H34" s="5">
        <v>125910000</v>
      </c>
      <c r="I34" s="12">
        <v>29378.3</v>
      </c>
      <c r="J34" s="5">
        <v>12591</v>
      </c>
      <c r="K34" s="5">
        <v>68</v>
      </c>
      <c r="L34" s="5">
        <v>13</v>
      </c>
      <c r="M34" s="12">
        <v>51753</v>
      </c>
      <c r="N34" s="14">
        <v>7.6160635571152855E-3</v>
      </c>
      <c r="O34" s="16">
        <v>9.9999999999999995E-7</v>
      </c>
      <c r="P34" s="18">
        <v>5.4006830275593677E-5</v>
      </c>
      <c r="Q34" s="16">
        <v>1.9117647058823528E-3</v>
      </c>
      <c r="R34" s="12">
        <f>IF(Marketing!$L34=0, 0, Marketing!$M34/Marketing!$L34)</f>
        <v>3981</v>
      </c>
      <c r="S34" s="12">
        <f>IF(Marketing!$J34=0,0,Marketing!$I34/Marketing!$J34)</f>
        <v>2.3332777380668732</v>
      </c>
      <c r="T34" s="12">
        <f>IF(Marketing!$K34=0,0,Marketing!$I34/Marketing!$K34)</f>
        <v>432.03382352941173</v>
      </c>
      <c r="U34" s="12">
        <f>Marketing!$M34 - Marketing!$I34</f>
        <v>22374.7</v>
      </c>
      <c r="V34" s="12">
        <f>IF(Marketing!$L34=0,0,Marketing!$I34/Marketing!$L34)</f>
        <v>2259.8692307692309</v>
      </c>
      <c r="W34" s="5" t="str">
        <f>IF(ISNUMBER(SEARCH("tier1",Marketing!$E34)),"Tier 1","Tier 2")</f>
        <v>Tier 2</v>
      </c>
      <c r="X34" s="5" t="str">
        <f t="shared" si="0"/>
        <v>Tier 2</v>
      </c>
      <c r="Y34" s="5" t="str">
        <f>IF(WEEKDAY(Marketing!$D34,2)&lt;6,"Weekday","Weekend")</f>
        <v>Weekday</v>
      </c>
    </row>
    <row r="35" spans="1:25" x14ac:dyDescent="0.35">
      <c r="A35" s="7">
        <v>34</v>
      </c>
      <c r="B35" s="7" t="str">
        <f>TEXT(Marketing!$D35,"MMMM")</f>
        <v>February</v>
      </c>
      <c r="C35" s="7" t="str">
        <f>TEXT(Marketing!$D35,"DDDD")</f>
        <v>Thursday</v>
      </c>
      <c r="D35" s="8">
        <v>44231</v>
      </c>
      <c r="E35" s="7" t="s">
        <v>1</v>
      </c>
      <c r="F35" s="7" t="s">
        <v>2</v>
      </c>
      <c r="G35" s="7">
        <v>349043</v>
      </c>
      <c r="H35" s="7">
        <v>2475754</v>
      </c>
      <c r="I35" s="13">
        <v>173914</v>
      </c>
      <c r="J35" s="7">
        <v>9601</v>
      </c>
      <c r="K35" s="7">
        <v>192</v>
      </c>
      <c r="L35" s="7">
        <v>31</v>
      </c>
      <c r="M35" s="13">
        <v>154411</v>
      </c>
      <c r="N35" s="15">
        <v>-1.1214163322101729E-3</v>
      </c>
      <c r="O35" s="16">
        <v>3.8780104970041453E-5</v>
      </c>
      <c r="P35" s="18">
        <v>1.9997916883657954E-4</v>
      </c>
      <c r="Q35" s="16">
        <v>1.6145833333333333E-3</v>
      </c>
      <c r="R35" s="13">
        <f>IF(Marketing!$L35=0, 0, Marketing!$M35/Marketing!$L35)</f>
        <v>4981</v>
      </c>
      <c r="S35" s="13">
        <f>IF(Marketing!$J35=0,0,Marketing!$I35/Marketing!$J35)</f>
        <v>18.114154775544215</v>
      </c>
      <c r="T35" s="13">
        <f>IF(Marketing!$K35=0,0,Marketing!$I35/Marketing!$K35)</f>
        <v>905.80208333333337</v>
      </c>
      <c r="U35" s="13">
        <f>Marketing!$M35 - Marketing!$I35</f>
        <v>-19503</v>
      </c>
      <c r="V35" s="13">
        <f>IF(Marketing!$L35=0,0,Marketing!$I35/Marketing!$L35)</f>
        <v>5610.1290322580644</v>
      </c>
      <c r="W35" s="7" t="str">
        <f>IF(ISNUMBER(SEARCH("tier1",Marketing!$E35)),"Tier 1","Tier 2")</f>
        <v>Tier 1</v>
      </c>
      <c r="X35" s="7" t="str">
        <f t="shared" si="0"/>
        <v>Tier 1</v>
      </c>
      <c r="Y35" s="7" t="str">
        <f>IF(WEEKDAY(Marketing!$D35,2)&lt;6,"Weekday","Weekend")</f>
        <v>Weekday</v>
      </c>
    </row>
    <row r="36" spans="1:25" x14ac:dyDescent="0.35">
      <c r="A36" s="5">
        <v>35</v>
      </c>
      <c r="B36" s="5" t="str">
        <f>TEXT(Marketing!$D36,"MMMM")</f>
        <v>February</v>
      </c>
      <c r="C36" s="5" t="str">
        <f>TEXT(Marketing!$D36,"DDDD")</f>
        <v>Thursday</v>
      </c>
      <c r="D36" s="6">
        <v>44231</v>
      </c>
      <c r="E36" s="7" t="s">
        <v>67</v>
      </c>
      <c r="F36" s="5" t="s">
        <v>2</v>
      </c>
      <c r="G36" s="5">
        <v>348934</v>
      </c>
      <c r="H36" s="5">
        <v>4597702</v>
      </c>
      <c r="I36" s="12">
        <v>115389</v>
      </c>
      <c r="J36" s="5">
        <v>13206</v>
      </c>
      <c r="K36" s="5">
        <v>143</v>
      </c>
      <c r="L36" s="5">
        <v>17</v>
      </c>
      <c r="M36" s="12">
        <v>82909</v>
      </c>
      <c r="N36" s="14">
        <v>-2.814826369931276E-3</v>
      </c>
      <c r="O36" s="16">
        <v>2.8723044686236732E-5</v>
      </c>
      <c r="P36" s="18">
        <v>1.0828411328184158E-4</v>
      </c>
      <c r="Q36" s="16">
        <v>1.1888111888111888E-3</v>
      </c>
      <c r="R36" s="12">
        <f>IF(Marketing!$L36=0, 0, Marketing!$M36/Marketing!$L36)</f>
        <v>4877</v>
      </c>
      <c r="S36" s="12">
        <f>IF(Marketing!$J36=0,0,Marketing!$I36/Marketing!$J36)</f>
        <v>8.737619263970922</v>
      </c>
      <c r="T36" s="12">
        <f>IF(Marketing!$K36=0,0,Marketing!$I36/Marketing!$K36)</f>
        <v>806.91608391608395</v>
      </c>
      <c r="U36" s="12">
        <f>Marketing!$M36 - Marketing!$I36</f>
        <v>-32480</v>
      </c>
      <c r="V36" s="12">
        <f>IF(Marketing!$L36=0,0,Marketing!$I36/Marketing!$L36)</f>
        <v>6787.588235294118</v>
      </c>
      <c r="W36" s="5" t="str">
        <f>IF(ISNUMBER(SEARCH("tier1",Marketing!$E36)),"Tier 1","Tier 2")</f>
        <v>Tier 2</v>
      </c>
      <c r="X36" s="5" t="str">
        <f t="shared" si="0"/>
        <v>Tier 2</v>
      </c>
      <c r="Y36" s="5" t="str">
        <f>IF(WEEKDAY(Marketing!$D36,2)&lt;6,"Weekday","Weekend")</f>
        <v>Weekday</v>
      </c>
    </row>
    <row r="37" spans="1:25" x14ac:dyDescent="0.35">
      <c r="A37" s="7">
        <v>36</v>
      </c>
      <c r="B37" s="7" t="str">
        <f>TEXT(Marketing!$D37,"MMMM")</f>
        <v>February</v>
      </c>
      <c r="C37" s="7" t="str">
        <f>TEXT(Marketing!$D37,"DDDD")</f>
        <v>Thursday</v>
      </c>
      <c r="D37" s="8">
        <v>44231</v>
      </c>
      <c r="E37" s="7" t="s">
        <v>3</v>
      </c>
      <c r="F37" s="7" t="s">
        <v>4</v>
      </c>
      <c r="G37" s="7">
        <v>89459845</v>
      </c>
      <c r="H37" s="7">
        <v>196484</v>
      </c>
      <c r="I37" s="13">
        <v>41269.599999999999</v>
      </c>
      <c r="J37" s="7">
        <v>3599</v>
      </c>
      <c r="K37" s="7">
        <v>55</v>
      </c>
      <c r="L37" s="7">
        <v>9</v>
      </c>
      <c r="M37" s="13">
        <v>68589</v>
      </c>
      <c r="N37" s="15">
        <v>6.6197394692461284E-3</v>
      </c>
      <c r="O37" s="16">
        <v>1.8317013090124386E-4</v>
      </c>
      <c r="P37" s="18">
        <v>1.5282022784106697E-4</v>
      </c>
      <c r="Q37" s="16">
        <v>1.6363636363636363E-3</v>
      </c>
      <c r="R37" s="13">
        <f>IF(Marketing!$L37=0, 0, Marketing!$M37/Marketing!$L37)</f>
        <v>7621</v>
      </c>
      <c r="S37" s="13">
        <f>IF(Marketing!$J37=0,0,Marketing!$I37/Marketing!$J37)</f>
        <v>11.466963045290358</v>
      </c>
      <c r="T37" s="13">
        <f>IF(Marketing!$K37=0,0,Marketing!$I37/Marketing!$K37)</f>
        <v>750.35636363636365</v>
      </c>
      <c r="U37" s="13">
        <f>Marketing!$M37 - Marketing!$I37</f>
        <v>27319.4</v>
      </c>
      <c r="V37" s="13">
        <f>IF(Marketing!$L37=0,0,Marketing!$I37/Marketing!$L37)</f>
        <v>4585.5111111111109</v>
      </c>
      <c r="W37" s="7" t="str">
        <f>IF(ISNUMBER(SEARCH("tier1",Marketing!$E37)),"Tier 1","Tier 2")</f>
        <v>Tier 2</v>
      </c>
      <c r="X37" s="7" t="str">
        <f t="shared" si="0"/>
        <v>Tier 2</v>
      </c>
      <c r="Y37" s="7" t="str">
        <f>IF(WEEKDAY(Marketing!$D37,2)&lt;6,"Weekday","Weekend")</f>
        <v>Weekday</v>
      </c>
    </row>
    <row r="38" spans="1:25" x14ac:dyDescent="0.35">
      <c r="A38" s="5">
        <v>37</v>
      </c>
      <c r="B38" s="5" t="str">
        <f>TEXT(Marketing!$D38,"MMMM")</f>
        <v>February</v>
      </c>
      <c r="C38" s="5" t="str">
        <f>TEXT(Marketing!$D38,"DDDD")</f>
        <v>Thursday</v>
      </c>
      <c r="D38" s="6">
        <v>44231</v>
      </c>
      <c r="E38" s="5" t="s">
        <v>5</v>
      </c>
      <c r="F38" s="5" t="s">
        <v>4</v>
      </c>
      <c r="G38" s="5">
        <v>127823</v>
      </c>
      <c r="H38" s="5">
        <v>1531679</v>
      </c>
      <c r="I38" s="12">
        <v>60108.800000000003</v>
      </c>
      <c r="J38" s="5">
        <v>9591</v>
      </c>
      <c r="K38" s="5">
        <v>234</v>
      </c>
      <c r="L38" s="5">
        <v>17</v>
      </c>
      <c r="M38" s="12">
        <v>58990</v>
      </c>
      <c r="N38" s="14">
        <v>-1.8612915247018789E-4</v>
      </c>
      <c r="O38" s="16">
        <v>6.2617558901049113E-5</v>
      </c>
      <c r="P38" s="18">
        <v>2.4397873005943072E-4</v>
      </c>
      <c r="Q38" s="16">
        <v>7.264957264957266E-4</v>
      </c>
      <c r="R38" s="12">
        <f>IF(Marketing!$L38=0, 0, Marketing!$M38/Marketing!$L38)</f>
        <v>3470</v>
      </c>
      <c r="S38" s="12">
        <f>IF(Marketing!$J38=0,0,Marketing!$I38/Marketing!$J38)</f>
        <v>6.267208841622355</v>
      </c>
      <c r="T38" s="12">
        <f>IF(Marketing!$K38=0,0,Marketing!$I38/Marketing!$K38)</f>
        <v>256.87521367521367</v>
      </c>
      <c r="U38" s="12">
        <f>Marketing!$M38 - Marketing!$I38</f>
        <v>-1118.8000000000029</v>
      </c>
      <c r="V38" s="12">
        <f>IF(Marketing!$L38=0,0,Marketing!$I38/Marketing!$L38)</f>
        <v>3535.8117647058825</v>
      </c>
      <c r="W38" s="5" t="str">
        <f>IF(ISNUMBER(SEARCH("tier1",Marketing!$E38)),"Tier 1","Tier 2")</f>
        <v>Tier 2</v>
      </c>
      <c r="X38" s="5" t="str">
        <f t="shared" si="0"/>
        <v>Tier 2</v>
      </c>
      <c r="Y38" s="5" t="str">
        <f>IF(WEEKDAY(Marketing!$D38,2)&lt;6,"Weekday","Weekend")</f>
        <v>Weekday</v>
      </c>
    </row>
    <row r="39" spans="1:25" x14ac:dyDescent="0.35">
      <c r="A39" s="7">
        <v>38</v>
      </c>
      <c r="B39" s="7" t="str">
        <f>TEXT(Marketing!$D39,"MMMM")</f>
        <v>February</v>
      </c>
      <c r="C39" s="7" t="str">
        <f>TEXT(Marketing!$D39,"DDDD")</f>
        <v>Thursday</v>
      </c>
      <c r="D39" s="8">
        <v>44231</v>
      </c>
      <c r="E39" s="7" t="s">
        <v>6</v>
      </c>
      <c r="F39" s="7" t="s">
        <v>7</v>
      </c>
      <c r="G39" s="7">
        <v>10934</v>
      </c>
      <c r="H39" s="7">
        <v>2120555</v>
      </c>
      <c r="I39" s="13">
        <v>185263</v>
      </c>
      <c r="J39" s="7">
        <v>17993</v>
      </c>
      <c r="K39" s="7">
        <v>445</v>
      </c>
      <c r="L39" s="7">
        <v>89</v>
      </c>
      <c r="M39" s="13">
        <v>624958</v>
      </c>
      <c r="N39" s="15">
        <v>2.373355715928167E-2</v>
      </c>
      <c r="O39" s="16">
        <v>8.4850428307683607E-5</v>
      </c>
      <c r="P39" s="18">
        <v>2.4731840160062245E-4</v>
      </c>
      <c r="Q39" s="16">
        <v>2E-3</v>
      </c>
      <c r="R39" s="13">
        <f>IF(Marketing!$L39=0, 0, Marketing!$M39/Marketing!$L39)</f>
        <v>7022</v>
      </c>
      <c r="S39" s="13">
        <f>IF(Marketing!$J39=0,0,Marketing!$I39/Marketing!$J39)</f>
        <v>10.296393041738455</v>
      </c>
      <c r="T39" s="13">
        <f>IF(Marketing!$K39=0,0,Marketing!$I39/Marketing!$K39)</f>
        <v>416.32134831460672</v>
      </c>
      <c r="U39" s="13">
        <f>Marketing!$M39 - Marketing!$I39</f>
        <v>439695</v>
      </c>
      <c r="V39" s="13">
        <f>IF(Marketing!$L39=0,0,Marketing!$I39/Marketing!$L39)</f>
        <v>2081.6067415730336</v>
      </c>
      <c r="W39" s="7" t="str">
        <f>IF(ISNUMBER(SEARCH("tier1",Marketing!$E39)),"Tier 1","Tier 2")</f>
        <v>Tier 2</v>
      </c>
      <c r="X39" s="7" t="str">
        <f t="shared" si="0"/>
        <v>Tier 2</v>
      </c>
      <c r="Y39" s="7" t="str">
        <f>IF(WEEKDAY(Marketing!$D39,2)&lt;6,"Weekday","Weekend")</f>
        <v>Weekday</v>
      </c>
    </row>
    <row r="40" spans="1:25" x14ac:dyDescent="0.35">
      <c r="A40" s="5">
        <v>39</v>
      </c>
      <c r="B40" s="5" t="str">
        <f>TEXT(Marketing!$D40,"MMMM")</f>
        <v>February</v>
      </c>
      <c r="C40" s="5" t="str">
        <f>TEXT(Marketing!$D40,"DDDD")</f>
        <v>Thursday</v>
      </c>
      <c r="D40" s="6">
        <v>44231</v>
      </c>
      <c r="E40" s="5" t="s">
        <v>8</v>
      </c>
      <c r="F40" s="5" t="s">
        <v>2</v>
      </c>
      <c r="G40" s="5">
        <v>9034945</v>
      </c>
      <c r="H40" s="5">
        <v>1322751</v>
      </c>
      <c r="I40" s="12">
        <v>104028</v>
      </c>
      <c r="J40" s="5">
        <v>10794</v>
      </c>
      <c r="K40" s="5">
        <v>238</v>
      </c>
      <c r="L40" s="5">
        <v>27</v>
      </c>
      <c r="M40" s="12">
        <v>179037</v>
      </c>
      <c r="N40" s="14">
        <v>7.2104625677702162E-3</v>
      </c>
      <c r="O40" s="16">
        <v>8.1602659911049006E-5</v>
      </c>
      <c r="P40" s="18">
        <v>2.2049286640726332E-4</v>
      </c>
      <c r="Q40" s="16">
        <v>1.134453781512605E-3</v>
      </c>
      <c r="R40" s="12">
        <f>IF(Marketing!$L40=0, 0, Marketing!$M40/Marketing!$L40)</f>
        <v>6631</v>
      </c>
      <c r="S40" s="12">
        <f>IF(Marketing!$J40=0,0,Marketing!$I40/Marketing!$J40)</f>
        <v>9.6375764313507499</v>
      </c>
      <c r="T40" s="12">
        <f>IF(Marketing!$K40=0,0,Marketing!$I40/Marketing!$K40)</f>
        <v>437.0924369747899</v>
      </c>
      <c r="U40" s="12">
        <f>Marketing!$M40 - Marketing!$I40</f>
        <v>75009</v>
      </c>
      <c r="V40" s="12">
        <f>IF(Marketing!$L40=0,0,Marketing!$I40/Marketing!$L40)</f>
        <v>3852.8888888888887</v>
      </c>
      <c r="W40" s="5" t="str">
        <f>IF(ISNUMBER(SEARCH("tier1",Marketing!$E40)),"Tier 1","Tier 2")</f>
        <v>Tier 1</v>
      </c>
      <c r="X40" s="5" t="str">
        <f t="shared" si="0"/>
        <v>Tier 1</v>
      </c>
      <c r="Y40" s="5" t="str">
        <f>IF(WEEKDAY(Marketing!$D40,2)&lt;6,"Weekday","Weekend")</f>
        <v>Weekday</v>
      </c>
    </row>
    <row r="41" spans="1:25" x14ac:dyDescent="0.35">
      <c r="A41" s="7">
        <v>40</v>
      </c>
      <c r="B41" s="7" t="str">
        <f>TEXT(Marketing!$D41,"MMMM")</f>
        <v>February</v>
      </c>
      <c r="C41" s="7" t="str">
        <f>TEXT(Marketing!$D41,"DDDD")</f>
        <v>Thursday</v>
      </c>
      <c r="D41" s="8">
        <v>44231</v>
      </c>
      <c r="E41" s="7" t="s">
        <v>9</v>
      </c>
      <c r="F41" s="7" t="s">
        <v>2</v>
      </c>
      <c r="G41" s="7">
        <v>983498</v>
      </c>
      <c r="H41" s="7">
        <v>3008227</v>
      </c>
      <c r="I41" s="13">
        <v>40119.199999999997</v>
      </c>
      <c r="J41" s="7">
        <v>20392</v>
      </c>
      <c r="K41" s="7">
        <v>408</v>
      </c>
      <c r="L41" s="7">
        <v>12</v>
      </c>
      <c r="M41" s="13">
        <v>23772</v>
      </c>
      <c r="N41" s="15">
        <v>-4.0746575205886457E-3</v>
      </c>
      <c r="O41" s="16">
        <v>6.7787437583666384E-5</v>
      </c>
      <c r="P41" s="18">
        <v>2.0007846214201649E-4</v>
      </c>
      <c r="Q41" s="16">
        <v>2.941176470588235E-4</v>
      </c>
      <c r="R41" s="13">
        <f>IF(Marketing!$L41=0, 0, Marketing!$M41/Marketing!$L41)</f>
        <v>1981</v>
      </c>
      <c r="S41" s="13">
        <f>IF(Marketing!$J41=0,0,Marketing!$I41/Marketing!$J41)</f>
        <v>1.9673989799921536</v>
      </c>
      <c r="T41" s="13">
        <f>IF(Marketing!$K41=0,0,Marketing!$I41/Marketing!$K41)</f>
        <v>98.331372549019605</v>
      </c>
      <c r="U41" s="13">
        <f>Marketing!$M41 - Marketing!$I41</f>
        <v>-16347.199999999997</v>
      </c>
      <c r="V41" s="13">
        <f>IF(Marketing!$L41=0,0,Marketing!$I41/Marketing!$L41)</f>
        <v>3343.2666666666664</v>
      </c>
      <c r="W41" s="7" t="str">
        <f>IF(ISNUMBER(SEARCH("tier1",Marketing!$E41)),"Tier 1","Tier 2")</f>
        <v>Tier 2</v>
      </c>
      <c r="X41" s="7" t="str">
        <f t="shared" si="0"/>
        <v>Tier 2</v>
      </c>
      <c r="Y41" s="7" t="str">
        <f>IF(WEEKDAY(Marketing!$D41,2)&lt;6,"Weekday","Weekend")</f>
        <v>Weekday</v>
      </c>
    </row>
    <row r="42" spans="1:25" x14ac:dyDescent="0.35">
      <c r="A42" s="5">
        <v>41</v>
      </c>
      <c r="B42" s="5" t="str">
        <f>TEXT(Marketing!$D42,"MMMM")</f>
        <v>February</v>
      </c>
      <c r="C42" s="5" t="str">
        <f>TEXT(Marketing!$D42,"DDDD")</f>
        <v>Thursday</v>
      </c>
      <c r="D42" s="6">
        <v>44231</v>
      </c>
      <c r="E42" s="5" t="s">
        <v>10</v>
      </c>
      <c r="F42" s="5" t="s">
        <v>2</v>
      </c>
      <c r="G42" s="5">
        <v>4387490</v>
      </c>
      <c r="H42" s="5">
        <v>43160</v>
      </c>
      <c r="I42" s="12">
        <v>885.75</v>
      </c>
      <c r="J42" s="5">
        <v>1194</v>
      </c>
      <c r="K42" s="5">
        <v>4</v>
      </c>
      <c r="L42" s="5">
        <v>1</v>
      </c>
      <c r="M42" s="12">
        <v>5287</v>
      </c>
      <c r="N42" s="14">
        <v>4.9689528648038384E-2</v>
      </c>
      <c r="O42" s="16">
        <v>2.7664504170528268E-4</v>
      </c>
      <c r="P42" s="18">
        <v>3.3500837520938026E-5</v>
      </c>
      <c r="Q42" s="16">
        <v>2.5000000000000001E-3</v>
      </c>
      <c r="R42" s="12">
        <f>IF(Marketing!$L42=0, 0, Marketing!$M42/Marketing!$L42)</f>
        <v>5287</v>
      </c>
      <c r="S42" s="12">
        <f>IF(Marketing!$J42=0,0,Marketing!$I42/Marketing!$J42)</f>
        <v>0.74183417085427139</v>
      </c>
      <c r="T42" s="12">
        <f>IF(Marketing!$K42=0,0,Marketing!$I42/Marketing!$K42)</f>
        <v>221.4375</v>
      </c>
      <c r="U42" s="12">
        <f>Marketing!$M42 - Marketing!$I42</f>
        <v>4401.25</v>
      </c>
      <c r="V42" s="12">
        <f>IF(Marketing!$L42=0,0,Marketing!$I42/Marketing!$L42)</f>
        <v>885.75</v>
      </c>
      <c r="W42" s="5" t="str">
        <f>IF(ISNUMBER(SEARCH("tier1",Marketing!$E42)),"Tier 1","Tier 2")</f>
        <v>Tier 2</v>
      </c>
      <c r="X42" s="5" t="str">
        <f t="shared" si="0"/>
        <v>Tier 2</v>
      </c>
      <c r="Y42" s="5" t="str">
        <f>IF(WEEKDAY(Marketing!$D42,2)&lt;6,"Weekday","Weekend")</f>
        <v>Weekday</v>
      </c>
    </row>
    <row r="43" spans="1:25" x14ac:dyDescent="0.35">
      <c r="A43" s="7">
        <v>42</v>
      </c>
      <c r="B43" s="7" t="str">
        <f>TEXT(Marketing!$D43,"MMMM")</f>
        <v>February</v>
      </c>
      <c r="C43" s="7" t="str">
        <f>TEXT(Marketing!$D43,"DDDD")</f>
        <v>Thursday</v>
      </c>
      <c r="D43" s="8">
        <v>44231</v>
      </c>
      <c r="E43" s="7" t="s">
        <v>11</v>
      </c>
      <c r="F43" s="7" t="s">
        <v>2</v>
      </c>
      <c r="G43" s="7">
        <v>544756</v>
      </c>
      <c r="H43" s="7">
        <v>432611</v>
      </c>
      <c r="I43" s="13">
        <v>120335</v>
      </c>
      <c r="J43" s="7">
        <v>4807</v>
      </c>
      <c r="K43" s="7">
        <v>71</v>
      </c>
      <c r="L43" s="7">
        <v>13</v>
      </c>
      <c r="M43" s="13">
        <v>6864</v>
      </c>
      <c r="N43" s="15">
        <v>-9.4295923879170653E-3</v>
      </c>
      <c r="O43" s="16">
        <v>1.1111599104044973E-4</v>
      </c>
      <c r="P43" s="18">
        <v>1.4770126898273352E-4</v>
      </c>
      <c r="Q43" s="16">
        <v>1.8309859154929577E-3</v>
      </c>
      <c r="R43" s="13">
        <f>IF(Marketing!$L43=0, 0, Marketing!$M43/Marketing!$L43)</f>
        <v>528</v>
      </c>
      <c r="S43" s="13">
        <f>IF(Marketing!$J43=0,0,Marketing!$I43/Marketing!$J43)</f>
        <v>25.033284793010193</v>
      </c>
      <c r="T43" s="13">
        <f>IF(Marketing!$K43=0,0,Marketing!$I43/Marketing!$K43)</f>
        <v>1694.8591549295775</v>
      </c>
      <c r="U43" s="13">
        <f>Marketing!$M43 - Marketing!$I43</f>
        <v>-113471</v>
      </c>
      <c r="V43" s="13">
        <f>IF(Marketing!$L43=0,0,Marketing!$I43/Marketing!$L43)</f>
        <v>9256.538461538461</v>
      </c>
      <c r="W43" s="7" t="str">
        <f>IF(ISNUMBER(SEARCH("tier1",Marketing!$E43)),"Tier 1","Tier 2")</f>
        <v>Tier 2</v>
      </c>
      <c r="X43" s="7" t="str">
        <f t="shared" si="0"/>
        <v>Tier 2</v>
      </c>
      <c r="Y43" s="7" t="str">
        <f>IF(WEEKDAY(Marketing!$D43,2)&lt;6,"Weekday","Weekend")</f>
        <v>Weekday</v>
      </c>
    </row>
    <row r="44" spans="1:25" x14ac:dyDescent="0.35">
      <c r="A44" s="5">
        <v>43</v>
      </c>
      <c r="B44" s="5" t="str">
        <f>TEXT(Marketing!$D44,"MMMM")</f>
        <v>February</v>
      </c>
      <c r="C44" s="5" t="str">
        <f>TEXT(Marketing!$D44,"DDDD")</f>
        <v>Thursday</v>
      </c>
      <c r="D44" s="6">
        <v>44231</v>
      </c>
      <c r="E44" s="5" t="s">
        <v>12</v>
      </c>
      <c r="F44" s="5" t="s">
        <v>7</v>
      </c>
      <c r="G44" s="5">
        <v>374754</v>
      </c>
      <c r="H44" s="5">
        <v>1199300</v>
      </c>
      <c r="I44" s="12">
        <v>149279</v>
      </c>
      <c r="J44" s="5">
        <v>11993</v>
      </c>
      <c r="K44" s="5">
        <v>267</v>
      </c>
      <c r="L44" s="5">
        <v>38</v>
      </c>
      <c r="M44" s="12">
        <v>224542</v>
      </c>
      <c r="N44" s="14">
        <v>5.0417674287743085E-3</v>
      </c>
      <c r="O44" s="16">
        <v>1E-4</v>
      </c>
      <c r="P44" s="18">
        <v>2.2262986742266322E-4</v>
      </c>
      <c r="Q44" s="16">
        <v>1.4232209737827714E-3</v>
      </c>
      <c r="R44" s="12">
        <f>IF(Marketing!$L44=0, 0, Marketing!$M44/Marketing!$L44)</f>
        <v>5909</v>
      </c>
      <c r="S44" s="12">
        <f>IF(Marketing!$J44=0,0,Marketing!$I44/Marketing!$J44)</f>
        <v>12.447177520220128</v>
      </c>
      <c r="T44" s="12">
        <f>IF(Marketing!$K44=0,0,Marketing!$I44/Marketing!$K44)</f>
        <v>559.09737827715355</v>
      </c>
      <c r="U44" s="12">
        <f>Marketing!$M44 - Marketing!$I44</f>
        <v>75263</v>
      </c>
      <c r="V44" s="12">
        <f>IF(Marketing!$L44=0,0,Marketing!$I44/Marketing!$L44)</f>
        <v>3928.3947368421054</v>
      </c>
      <c r="W44" s="5" t="str">
        <f>IF(ISNUMBER(SEARCH("tier1",Marketing!$E44)),"Tier 1","Tier 2")</f>
        <v>Tier 2</v>
      </c>
      <c r="X44" s="5" t="str">
        <f t="shared" si="0"/>
        <v>Tier 2</v>
      </c>
      <c r="Y44" s="5" t="str">
        <f>IF(WEEKDAY(Marketing!$D44,2)&lt;6,"Weekday","Weekend")</f>
        <v>Weekday</v>
      </c>
    </row>
    <row r="45" spans="1:25" x14ac:dyDescent="0.35">
      <c r="A45" s="7">
        <v>44</v>
      </c>
      <c r="B45" s="7" t="str">
        <f>TEXT(Marketing!$D45,"MMMM")</f>
        <v>February</v>
      </c>
      <c r="C45" s="7" t="str">
        <f>TEXT(Marketing!$D45,"DDDD")</f>
        <v>Thursday</v>
      </c>
      <c r="D45" s="8">
        <v>44231</v>
      </c>
      <c r="E45" s="7" t="s">
        <v>13</v>
      </c>
      <c r="F45" s="7" t="s">
        <v>14</v>
      </c>
      <c r="G45" s="7">
        <v>39889</v>
      </c>
      <c r="H45" s="7">
        <v>41924802</v>
      </c>
      <c r="I45" s="13">
        <v>177746</v>
      </c>
      <c r="J45" s="7">
        <v>16806</v>
      </c>
      <c r="K45" s="7">
        <v>336</v>
      </c>
      <c r="L45" s="7">
        <v>60</v>
      </c>
      <c r="M45" s="13">
        <v>204540</v>
      </c>
      <c r="N45" s="15">
        <v>1.5074319534616812E-3</v>
      </c>
      <c r="O45" s="16">
        <v>4.0086056935939728E-6</v>
      </c>
      <c r="P45" s="18">
        <v>1.9992859692966795E-4</v>
      </c>
      <c r="Q45" s="16">
        <v>1.7857142857142857E-3</v>
      </c>
      <c r="R45" s="13">
        <f>IF(Marketing!$L45=0, 0, Marketing!$M45/Marketing!$L45)</f>
        <v>3409</v>
      </c>
      <c r="S45" s="13">
        <f>IF(Marketing!$J45=0,0,Marketing!$I45/Marketing!$J45)</f>
        <v>10.576341782696655</v>
      </c>
      <c r="T45" s="13">
        <f>IF(Marketing!$K45=0,0,Marketing!$I45/Marketing!$K45)</f>
        <v>529.00595238095241</v>
      </c>
      <c r="U45" s="13">
        <f>Marketing!$M45 - Marketing!$I45</f>
        <v>26794</v>
      </c>
      <c r="V45" s="13">
        <f>IF(Marketing!$L45=0,0,Marketing!$I45/Marketing!$L45)</f>
        <v>2962.4333333333334</v>
      </c>
      <c r="W45" s="7" t="str">
        <f>IF(ISNUMBER(SEARCH("tier1",Marketing!$E45)),"Tier 1","Tier 2")</f>
        <v>Tier 2</v>
      </c>
      <c r="X45" s="7" t="str">
        <f t="shared" si="0"/>
        <v>Tier 2</v>
      </c>
      <c r="Y45" s="7" t="str">
        <f>IF(WEEKDAY(Marketing!$D45,2)&lt;6,"Weekday","Weekend")</f>
        <v>Weekday</v>
      </c>
    </row>
    <row r="46" spans="1:25" x14ac:dyDescent="0.35">
      <c r="A46" s="5">
        <v>45</v>
      </c>
      <c r="B46" s="5" t="str">
        <f>TEXT(Marketing!$D46,"MMMM")</f>
        <v>February</v>
      </c>
      <c r="C46" s="5" t="str">
        <f>TEXT(Marketing!$D46,"DDDD")</f>
        <v>Friday</v>
      </c>
      <c r="D46" s="6">
        <v>44232</v>
      </c>
      <c r="E46" s="5" t="s">
        <v>1</v>
      </c>
      <c r="F46" s="5" t="s">
        <v>2</v>
      </c>
      <c r="G46" s="5">
        <v>349043</v>
      </c>
      <c r="H46" s="5">
        <v>3462883</v>
      </c>
      <c r="I46" s="12">
        <v>90691.7</v>
      </c>
      <c r="J46" s="5">
        <v>11997</v>
      </c>
      <c r="K46" s="5">
        <v>143</v>
      </c>
      <c r="L46" s="5">
        <v>17</v>
      </c>
      <c r="M46" s="12">
        <v>84677</v>
      </c>
      <c r="N46" s="14">
        <v>-6.6320291713574647E-4</v>
      </c>
      <c r="O46" s="16">
        <v>3.4644543289507616E-5</v>
      </c>
      <c r="P46" s="18">
        <v>1.1919646578311245E-4</v>
      </c>
      <c r="Q46" s="16">
        <v>1.1888111888111888E-3</v>
      </c>
      <c r="R46" s="12">
        <f>IF(Marketing!$L46=0, 0, Marketing!$M46/Marketing!$L46)</f>
        <v>4981</v>
      </c>
      <c r="S46" s="12">
        <f>IF(Marketing!$J46=0,0,Marketing!$I46/Marketing!$J46)</f>
        <v>7.5595315495540554</v>
      </c>
      <c r="T46" s="12">
        <f>IF(Marketing!$K46=0,0,Marketing!$I46/Marketing!$K46)</f>
        <v>634.20769230769224</v>
      </c>
      <c r="U46" s="12">
        <f>Marketing!$M46 - Marketing!$I46</f>
        <v>-6014.6999999999971</v>
      </c>
      <c r="V46" s="12">
        <f>IF(Marketing!$L46=0,0,Marketing!$I46/Marketing!$L46)</f>
        <v>5334.8058823529409</v>
      </c>
      <c r="W46" s="5" t="str">
        <f>IF(ISNUMBER(SEARCH("tier1",Marketing!$E46)),"Tier 1","Tier 2")</f>
        <v>Tier 1</v>
      </c>
      <c r="X46" s="5" t="str">
        <f t="shared" si="0"/>
        <v>Tier 1</v>
      </c>
      <c r="Y46" s="5" t="str">
        <f>IF(WEEKDAY(Marketing!$D46,2)&lt;6,"Weekday","Weekend")</f>
        <v>Weekday</v>
      </c>
    </row>
    <row r="47" spans="1:25" x14ac:dyDescent="0.35">
      <c r="A47" s="7">
        <v>46</v>
      </c>
      <c r="B47" s="7" t="str">
        <f>TEXT(Marketing!$D47,"MMMM")</f>
        <v>February</v>
      </c>
      <c r="C47" s="7" t="str">
        <f>TEXT(Marketing!$D47,"DDDD")</f>
        <v>Friday</v>
      </c>
      <c r="D47" s="8">
        <v>44232</v>
      </c>
      <c r="E47" s="7" t="s">
        <v>67</v>
      </c>
      <c r="F47" s="7" t="s">
        <v>2</v>
      </c>
      <c r="G47" s="7">
        <v>348934</v>
      </c>
      <c r="H47" s="7">
        <v>3299600</v>
      </c>
      <c r="I47" s="13">
        <v>261047</v>
      </c>
      <c r="J47" s="7">
        <v>16498</v>
      </c>
      <c r="K47" s="7">
        <v>330</v>
      </c>
      <c r="L47" s="7">
        <v>42</v>
      </c>
      <c r="M47" s="13">
        <v>209202</v>
      </c>
      <c r="N47" s="15">
        <v>-1.9860408278968922E-3</v>
      </c>
      <c r="O47" s="16">
        <v>5.0000000000000002E-5</v>
      </c>
      <c r="P47" s="18">
        <v>2.0002424536307429E-4</v>
      </c>
      <c r="Q47" s="16">
        <v>1.2727272727272726E-3</v>
      </c>
      <c r="R47" s="13">
        <f>IF(Marketing!$L47=0, 0, Marketing!$M47/Marketing!$L47)</f>
        <v>4981</v>
      </c>
      <c r="S47" s="13">
        <f>IF(Marketing!$J47=0,0,Marketing!$I47/Marketing!$J47)</f>
        <v>15.822948236149836</v>
      </c>
      <c r="T47" s="13">
        <f>IF(Marketing!$K47=0,0,Marketing!$I47/Marketing!$K47)</f>
        <v>791.0515151515151</v>
      </c>
      <c r="U47" s="13">
        <f>Marketing!$M47 - Marketing!$I47</f>
        <v>-51845</v>
      </c>
      <c r="V47" s="13">
        <f>IF(Marketing!$L47=0,0,Marketing!$I47/Marketing!$L47)</f>
        <v>6215.4047619047615</v>
      </c>
      <c r="W47" s="7" t="str">
        <f>IF(ISNUMBER(SEARCH("tier1",Marketing!$E47)),"Tier 1","Tier 2")</f>
        <v>Tier 2</v>
      </c>
      <c r="X47" s="7" t="str">
        <f t="shared" si="0"/>
        <v>Tier 2</v>
      </c>
      <c r="Y47" s="7" t="str">
        <f>IF(WEEKDAY(Marketing!$D47,2)&lt;6,"Weekday","Weekend")</f>
        <v>Weekday</v>
      </c>
    </row>
    <row r="48" spans="1:25" x14ac:dyDescent="0.35">
      <c r="A48" s="5">
        <v>47</v>
      </c>
      <c r="B48" s="5" t="str">
        <f>TEXT(Marketing!$D48,"MMMM")</f>
        <v>February</v>
      </c>
      <c r="C48" s="5" t="str">
        <f>TEXT(Marketing!$D48,"DDDD")</f>
        <v>Friday</v>
      </c>
      <c r="D48" s="6">
        <v>44232</v>
      </c>
      <c r="E48" s="5" t="s">
        <v>3</v>
      </c>
      <c r="F48" s="5" t="s">
        <v>4</v>
      </c>
      <c r="G48" s="5">
        <v>89459845</v>
      </c>
      <c r="H48" s="5">
        <v>236719</v>
      </c>
      <c r="I48" s="12">
        <v>96930.6</v>
      </c>
      <c r="J48" s="5">
        <v>4504</v>
      </c>
      <c r="K48" s="5">
        <v>151</v>
      </c>
      <c r="L48" s="5">
        <v>23</v>
      </c>
      <c r="M48" s="12">
        <v>177882</v>
      </c>
      <c r="N48" s="14">
        <v>8.3514803374785656E-3</v>
      </c>
      <c r="O48" s="16">
        <v>1.902677858558037E-4</v>
      </c>
      <c r="P48" s="18">
        <v>3.3525754884547075E-4</v>
      </c>
      <c r="Q48" s="16">
        <v>1.5231788079470199E-3</v>
      </c>
      <c r="R48" s="12">
        <f>IF(Marketing!$L48=0, 0, Marketing!$M48/Marketing!$L48)</f>
        <v>7734</v>
      </c>
      <c r="S48" s="12">
        <f>IF(Marketing!$J48=0,0,Marketing!$I48/Marketing!$J48)</f>
        <v>21.521003552397868</v>
      </c>
      <c r="T48" s="12">
        <f>IF(Marketing!$K48=0,0,Marketing!$I48/Marketing!$K48)</f>
        <v>641.92450331125826</v>
      </c>
      <c r="U48" s="12">
        <f>Marketing!$M48 - Marketing!$I48</f>
        <v>80951.399999999994</v>
      </c>
      <c r="V48" s="12">
        <f>IF(Marketing!$L48=0,0,Marketing!$I48/Marketing!$L48)</f>
        <v>4214.3739130434788</v>
      </c>
      <c r="W48" s="5" t="str">
        <f>IF(ISNUMBER(SEARCH("tier1",Marketing!$E48)),"Tier 1","Tier 2")</f>
        <v>Tier 2</v>
      </c>
      <c r="X48" s="5" t="str">
        <f t="shared" si="0"/>
        <v>Tier 2</v>
      </c>
      <c r="Y48" s="5" t="str">
        <f>IF(WEEKDAY(Marketing!$D48,2)&lt;6,"Weekday","Weekend")</f>
        <v>Weekday</v>
      </c>
    </row>
    <row r="49" spans="1:25" x14ac:dyDescent="0.35">
      <c r="A49" s="7">
        <v>48</v>
      </c>
      <c r="B49" s="7" t="str">
        <f>TEXT(Marketing!$D49,"MMMM")</f>
        <v>February</v>
      </c>
      <c r="C49" s="7" t="str">
        <f>TEXT(Marketing!$D49,"DDDD")</f>
        <v>Friday</v>
      </c>
      <c r="D49" s="8">
        <v>44232</v>
      </c>
      <c r="E49" s="7" t="s">
        <v>5</v>
      </c>
      <c r="F49" s="7" t="s">
        <v>4</v>
      </c>
      <c r="G49" s="7">
        <v>127823</v>
      </c>
      <c r="H49" s="7">
        <v>9914040</v>
      </c>
      <c r="I49" s="13">
        <v>56875.199999999997</v>
      </c>
      <c r="J49" s="7">
        <v>11993</v>
      </c>
      <c r="K49" s="7">
        <v>139</v>
      </c>
      <c r="L49" s="7">
        <v>14</v>
      </c>
      <c r="M49" s="13">
        <v>49644</v>
      </c>
      <c r="N49" s="15">
        <v>-1.271415309308802E-3</v>
      </c>
      <c r="O49" s="16">
        <v>1.2096985688982495E-5</v>
      </c>
      <c r="P49" s="18">
        <v>1.1590094221629283E-4</v>
      </c>
      <c r="Q49" s="16">
        <v>1.0071942446043165E-3</v>
      </c>
      <c r="R49" s="13">
        <f>IF(Marketing!$L49=0, 0, Marketing!$M49/Marketing!$L49)</f>
        <v>3546</v>
      </c>
      <c r="S49" s="13">
        <f>IF(Marketing!$J49=0,0,Marketing!$I49/Marketing!$J49)</f>
        <v>4.7423663803885594</v>
      </c>
      <c r="T49" s="13">
        <f>IF(Marketing!$K49=0,0,Marketing!$I49/Marketing!$K49)</f>
        <v>409.17410071942442</v>
      </c>
      <c r="U49" s="13">
        <f>Marketing!$M49 - Marketing!$I49</f>
        <v>-7231.1999999999971</v>
      </c>
      <c r="V49" s="13">
        <f>IF(Marketing!$L49=0,0,Marketing!$I49/Marketing!$L49)</f>
        <v>4062.5142857142855</v>
      </c>
      <c r="W49" s="7" t="str">
        <f>IF(ISNUMBER(SEARCH("tier1",Marketing!$E49)),"Tier 1","Tier 2")</f>
        <v>Tier 2</v>
      </c>
      <c r="X49" s="7" t="str">
        <f t="shared" si="0"/>
        <v>Tier 2</v>
      </c>
      <c r="Y49" s="7" t="str">
        <f>IF(WEEKDAY(Marketing!$D49,2)&lt;6,"Weekday","Weekend")</f>
        <v>Weekday</v>
      </c>
    </row>
    <row r="50" spans="1:25" x14ac:dyDescent="0.35">
      <c r="A50" s="5">
        <v>49</v>
      </c>
      <c r="B50" s="5" t="str">
        <f>TEXT(Marketing!$D50,"MMMM")</f>
        <v>February</v>
      </c>
      <c r="C50" s="5" t="str">
        <f>TEXT(Marketing!$D50,"DDDD")</f>
        <v>Friday</v>
      </c>
      <c r="D50" s="6">
        <v>44232</v>
      </c>
      <c r="E50" s="5" t="s">
        <v>6</v>
      </c>
      <c r="F50" s="5" t="s">
        <v>7</v>
      </c>
      <c r="G50" s="5">
        <v>10934</v>
      </c>
      <c r="H50" s="5">
        <v>1965108</v>
      </c>
      <c r="I50" s="12">
        <v>442617</v>
      </c>
      <c r="J50" s="5">
        <v>22507</v>
      </c>
      <c r="K50" s="5">
        <v>731</v>
      </c>
      <c r="L50" s="5">
        <v>146</v>
      </c>
      <c r="M50" s="12">
        <v>1165230</v>
      </c>
      <c r="N50" s="14">
        <v>1.6325920604043677E-2</v>
      </c>
      <c r="O50" s="16">
        <v>1.1453314525206757E-4</v>
      </c>
      <c r="P50" s="18">
        <v>3.2478784378193451E-4</v>
      </c>
      <c r="Q50" s="16">
        <v>1.9972640218878248E-3</v>
      </c>
      <c r="R50" s="12">
        <f>IF(Marketing!$L50=0, 0, Marketing!$M50/Marketing!$L50)</f>
        <v>7981.0273972602736</v>
      </c>
      <c r="S50" s="12">
        <f>IF(Marketing!$J50=0,0,Marketing!$I50/Marketing!$J50)</f>
        <v>19.665748433820589</v>
      </c>
      <c r="T50" s="12">
        <f>IF(Marketing!$K50=0,0,Marketing!$I50/Marketing!$K50)</f>
        <v>605.49521203830375</v>
      </c>
      <c r="U50" s="12">
        <f>Marketing!$M50 - Marketing!$I50</f>
        <v>722613</v>
      </c>
      <c r="V50" s="12">
        <f>IF(Marketing!$L50=0,0,Marketing!$I50/Marketing!$L50)</f>
        <v>3031.6232876712329</v>
      </c>
      <c r="W50" s="5" t="str">
        <f>IF(ISNUMBER(SEARCH("tier1",Marketing!$E50)),"Tier 1","Tier 2")</f>
        <v>Tier 2</v>
      </c>
      <c r="X50" s="5" t="str">
        <f t="shared" si="0"/>
        <v>Tier 2</v>
      </c>
      <c r="Y50" s="5" t="str">
        <f>IF(WEEKDAY(Marketing!$D50,2)&lt;6,"Weekday","Weekend")</f>
        <v>Weekday</v>
      </c>
    </row>
    <row r="51" spans="1:25" x14ac:dyDescent="0.35">
      <c r="A51" s="7">
        <v>50</v>
      </c>
      <c r="B51" s="7" t="str">
        <f>TEXT(Marketing!$D51,"MMMM")</f>
        <v>February</v>
      </c>
      <c r="C51" s="7" t="str">
        <f>TEXT(Marketing!$D51,"DDDD")</f>
        <v>Friday</v>
      </c>
      <c r="D51" s="8">
        <v>44232</v>
      </c>
      <c r="E51" s="7" t="s">
        <v>8</v>
      </c>
      <c r="F51" s="7" t="s">
        <v>2</v>
      </c>
      <c r="G51" s="7">
        <v>9034945</v>
      </c>
      <c r="H51" s="7">
        <v>7485780</v>
      </c>
      <c r="I51" s="13">
        <v>258306</v>
      </c>
      <c r="J51" s="7">
        <v>13498</v>
      </c>
      <c r="K51" s="7">
        <v>526</v>
      </c>
      <c r="L51" s="7">
        <v>76</v>
      </c>
      <c r="M51" s="13">
        <v>454556</v>
      </c>
      <c r="N51" s="15">
        <v>7.5975780663244371E-3</v>
      </c>
      <c r="O51" s="16">
        <v>1.803152109733388E-5</v>
      </c>
      <c r="P51" s="18">
        <v>3.8968736109053193E-4</v>
      </c>
      <c r="Q51" s="16">
        <v>1.4448669201520912E-3</v>
      </c>
      <c r="R51" s="13">
        <f>IF(Marketing!$L51=0, 0, Marketing!$M51/Marketing!$L51)</f>
        <v>5981</v>
      </c>
      <c r="S51" s="13">
        <f>IF(Marketing!$J51=0,0,Marketing!$I51/Marketing!$J51)</f>
        <v>19.136612831530599</v>
      </c>
      <c r="T51" s="13">
        <f>IF(Marketing!$K51=0,0,Marketing!$I51/Marketing!$K51)</f>
        <v>491.0760456273764</v>
      </c>
      <c r="U51" s="13">
        <f>Marketing!$M51 - Marketing!$I51</f>
        <v>196250</v>
      </c>
      <c r="V51" s="13">
        <f>IF(Marketing!$L51=0,0,Marketing!$I51/Marketing!$L51)</f>
        <v>3398.7631578947367</v>
      </c>
      <c r="W51" s="7" t="str">
        <f>IF(ISNUMBER(SEARCH("tier1",Marketing!$E51)),"Tier 1","Tier 2")</f>
        <v>Tier 1</v>
      </c>
      <c r="X51" s="7" t="str">
        <f t="shared" si="0"/>
        <v>Tier 1</v>
      </c>
      <c r="Y51" s="7" t="str">
        <f>IF(WEEKDAY(Marketing!$D51,2)&lt;6,"Weekday","Weekend")</f>
        <v>Weekday</v>
      </c>
    </row>
    <row r="52" spans="1:25" x14ac:dyDescent="0.35">
      <c r="A52" s="5">
        <v>51</v>
      </c>
      <c r="B52" s="5" t="str">
        <f>TEXT(Marketing!$D52,"MMMM")</f>
        <v>February</v>
      </c>
      <c r="C52" s="5" t="str">
        <f>TEXT(Marketing!$D52,"DDDD")</f>
        <v>Friday</v>
      </c>
      <c r="D52" s="6">
        <v>44232</v>
      </c>
      <c r="E52" s="5" t="s">
        <v>9</v>
      </c>
      <c r="F52" s="5" t="s">
        <v>2</v>
      </c>
      <c r="G52" s="5">
        <v>983498</v>
      </c>
      <c r="H52" s="5">
        <v>5100600</v>
      </c>
      <c r="I52" s="12">
        <v>13588.8</v>
      </c>
      <c r="J52" s="5">
        <v>25503</v>
      </c>
      <c r="K52" s="5">
        <v>765</v>
      </c>
      <c r="L52" s="5">
        <v>4</v>
      </c>
      <c r="M52" s="12">
        <v>7924</v>
      </c>
      <c r="N52" s="14">
        <v>-4.1687271870952548E-3</v>
      </c>
      <c r="O52" s="16">
        <v>5.0000000000000002E-5</v>
      </c>
      <c r="P52" s="18">
        <v>2.9996471003411359E-4</v>
      </c>
      <c r="Q52" s="16">
        <v>5.2287581699346402E-5</v>
      </c>
      <c r="R52" s="12">
        <f>IF(Marketing!$L52=0, 0, Marketing!$M52/Marketing!$L52)</f>
        <v>1981</v>
      </c>
      <c r="S52" s="12">
        <f>IF(Marketing!$J52=0,0,Marketing!$I52/Marketing!$J52)</f>
        <v>0.53283143159628277</v>
      </c>
      <c r="T52" s="12">
        <f>IF(Marketing!$K52=0,0,Marketing!$I52/Marketing!$K52)</f>
        <v>17.763137254901959</v>
      </c>
      <c r="U52" s="12">
        <f>Marketing!$M52 - Marketing!$I52</f>
        <v>-5664.7999999999993</v>
      </c>
      <c r="V52" s="12">
        <f>IF(Marketing!$L52=0,0,Marketing!$I52/Marketing!$L52)</f>
        <v>3397.2</v>
      </c>
      <c r="W52" s="5" t="str">
        <f>IF(ISNUMBER(SEARCH("tier1",Marketing!$E52)),"Tier 1","Tier 2")</f>
        <v>Tier 2</v>
      </c>
      <c r="X52" s="5" t="str">
        <f t="shared" si="0"/>
        <v>Tier 2</v>
      </c>
      <c r="Y52" s="5" t="str">
        <f>IF(WEEKDAY(Marketing!$D52,2)&lt;6,"Weekday","Weekend")</f>
        <v>Weekday</v>
      </c>
    </row>
    <row r="53" spans="1:25" x14ac:dyDescent="0.35">
      <c r="A53" s="7">
        <v>52</v>
      </c>
      <c r="B53" s="7" t="str">
        <f>TEXT(Marketing!$D53,"MMMM")</f>
        <v>February</v>
      </c>
      <c r="C53" s="7" t="str">
        <f>TEXT(Marketing!$D53,"DDDD")</f>
        <v>Friday</v>
      </c>
      <c r="D53" s="8">
        <v>44232</v>
      </c>
      <c r="E53" s="7" t="s">
        <v>10</v>
      </c>
      <c r="F53" s="7" t="s">
        <v>2</v>
      </c>
      <c r="G53" s="7">
        <v>4387490</v>
      </c>
      <c r="H53" s="7">
        <v>48954</v>
      </c>
      <c r="I53" s="13">
        <v>6790.74</v>
      </c>
      <c r="J53" s="7">
        <v>1505</v>
      </c>
      <c r="K53" s="7">
        <v>30</v>
      </c>
      <c r="L53" s="7">
        <v>5</v>
      </c>
      <c r="M53" s="13">
        <v>27060</v>
      </c>
      <c r="N53" s="15">
        <v>2.9848381766935564E-2</v>
      </c>
      <c r="O53" s="16">
        <v>3.0743146627446174E-4</v>
      </c>
      <c r="P53" s="18">
        <v>1.9933554817275746E-4</v>
      </c>
      <c r="Q53" s="16">
        <v>1.6666666666666666E-3</v>
      </c>
      <c r="R53" s="13">
        <f>IF(Marketing!$L53=0, 0, Marketing!$M53/Marketing!$L53)</f>
        <v>5412</v>
      </c>
      <c r="S53" s="13">
        <f>IF(Marketing!$J53=0,0,Marketing!$I53/Marketing!$J53)</f>
        <v>4.5121196013289033</v>
      </c>
      <c r="T53" s="13">
        <f>IF(Marketing!$K53=0,0,Marketing!$I53/Marketing!$K53)</f>
        <v>226.358</v>
      </c>
      <c r="U53" s="13">
        <f>Marketing!$M53 - Marketing!$I53</f>
        <v>20269.260000000002</v>
      </c>
      <c r="V53" s="13">
        <f>IF(Marketing!$L53=0,0,Marketing!$I53/Marketing!$L53)</f>
        <v>1358.1479999999999</v>
      </c>
      <c r="W53" s="7" t="str">
        <f>IF(ISNUMBER(SEARCH("tier1",Marketing!$E53)),"Tier 1","Tier 2")</f>
        <v>Tier 2</v>
      </c>
      <c r="X53" s="7" t="str">
        <f t="shared" si="0"/>
        <v>Tier 2</v>
      </c>
      <c r="Y53" s="7" t="str">
        <f>IF(WEEKDAY(Marketing!$D53,2)&lt;6,"Weekday","Weekend")</f>
        <v>Weekday</v>
      </c>
    </row>
    <row r="54" spans="1:25" x14ac:dyDescent="0.35">
      <c r="A54" s="5">
        <v>53</v>
      </c>
      <c r="B54" s="5" t="str">
        <f>TEXT(Marketing!$D54,"MMMM")</f>
        <v>February</v>
      </c>
      <c r="C54" s="5" t="str">
        <f>TEXT(Marketing!$D54,"DDDD")</f>
        <v>Friday</v>
      </c>
      <c r="D54" s="6">
        <v>44232</v>
      </c>
      <c r="E54" s="5" t="s">
        <v>11</v>
      </c>
      <c r="F54" s="5" t="s">
        <v>2</v>
      </c>
      <c r="G54" s="5">
        <v>544756</v>
      </c>
      <c r="H54" s="5">
        <v>600400</v>
      </c>
      <c r="I54" s="12">
        <v>192789</v>
      </c>
      <c r="J54" s="5">
        <v>6004</v>
      </c>
      <c r="K54" s="5">
        <v>120</v>
      </c>
      <c r="L54" s="5">
        <v>21</v>
      </c>
      <c r="M54" s="12">
        <v>9492</v>
      </c>
      <c r="N54" s="14">
        <v>-9.5076482579400275E-3</v>
      </c>
      <c r="O54" s="16">
        <v>1E-4</v>
      </c>
      <c r="P54" s="18">
        <v>1.9986675549633578E-4</v>
      </c>
      <c r="Q54" s="16">
        <v>1.7499999999999998E-3</v>
      </c>
      <c r="R54" s="12">
        <f>IF(Marketing!$L54=0, 0, Marketing!$M54/Marketing!$L54)</f>
        <v>452</v>
      </c>
      <c r="S54" s="12">
        <f>IF(Marketing!$J54=0,0,Marketing!$I54/Marketing!$J54)</f>
        <v>32.110093271152564</v>
      </c>
      <c r="T54" s="12">
        <f>IF(Marketing!$K54=0,0,Marketing!$I54/Marketing!$K54)</f>
        <v>1606.575</v>
      </c>
      <c r="U54" s="12">
        <f>Marketing!$M54 - Marketing!$I54</f>
        <v>-183297</v>
      </c>
      <c r="V54" s="12">
        <f>IF(Marketing!$L54=0,0,Marketing!$I54/Marketing!$L54)</f>
        <v>9180.4285714285706</v>
      </c>
      <c r="W54" s="5" t="str">
        <f>IF(ISNUMBER(SEARCH("tier1",Marketing!$E54)),"Tier 1","Tier 2")</f>
        <v>Tier 2</v>
      </c>
      <c r="X54" s="5" t="str">
        <f t="shared" si="0"/>
        <v>Tier 2</v>
      </c>
      <c r="Y54" s="5" t="str">
        <f>IF(WEEKDAY(Marketing!$D54,2)&lt;6,"Weekday","Weekend")</f>
        <v>Weekday</v>
      </c>
    </row>
    <row r="55" spans="1:25" x14ac:dyDescent="0.35">
      <c r="A55" s="7">
        <v>54</v>
      </c>
      <c r="B55" s="7" t="str">
        <f>TEXT(Marketing!$D55,"MMMM")</f>
        <v>February</v>
      </c>
      <c r="C55" s="7" t="str">
        <f>TEXT(Marketing!$D55,"DDDD")</f>
        <v>Friday</v>
      </c>
      <c r="D55" s="8">
        <v>44232</v>
      </c>
      <c r="E55" s="7" t="s">
        <v>12</v>
      </c>
      <c r="F55" s="7" t="s">
        <v>7</v>
      </c>
      <c r="G55" s="7">
        <v>374754</v>
      </c>
      <c r="H55" s="7">
        <v>2153303</v>
      </c>
      <c r="I55" s="13">
        <v>36431.699999999997</v>
      </c>
      <c r="J55" s="7">
        <v>15003</v>
      </c>
      <c r="K55" s="7">
        <v>51</v>
      </c>
      <c r="L55" s="7">
        <v>8</v>
      </c>
      <c r="M55" s="13">
        <v>47816</v>
      </c>
      <c r="N55" s="15">
        <v>3.1248335927228223E-3</v>
      </c>
      <c r="O55" s="16">
        <v>6.9674356093870669E-5</v>
      </c>
      <c r="P55" s="18">
        <v>3.3993201359728057E-5</v>
      </c>
      <c r="Q55" s="16">
        <v>1.5686274509803921E-3</v>
      </c>
      <c r="R55" s="13">
        <f>IF(Marketing!$L55=0, 0, Marketing!$M55/Marketing!$L55)</f>
        <v>5977</v>
      </c>
      <c r="S55" s="13">
        <f>IF(Marketing!$J55=0,0,Marketing!$I55/Marketing!$J55)</f>
        <v>2.4282943411317737</v>
      </c>
      <c r="T55" s="13">
        <f>IF(Marketing!$K55=0,0,Marketing!$I55/Marketing!$K55)</f>
        <v>714.34705882352932</v>
      </c>
      <c r="U55" s="13">
        <f>Marketing!$M55 - Marketing!$I55</f>
        <v>11384.300000000003</v>
      </c>
      <c r="V55" s="13">
        <f>IF(Marketing!$L55=0,0,Marketing!$I55/Marketing!$L55)</f>
        <v>4553.9624999999996</v>
      </c>
      <c r="W55" s="7" t="str">
        <f>IF(ISNUMBER(SEARCH("tier1",Marketing!$E55)),"Tier 1","Tier 2")</f>
        <v>Tier 2</v>
      </c>
      <c r="X55" s="7" t="str">
        <f t="shared" si="0"/>
        <v>Tier 2</v>
      </c>
      <c r="Y55" s="7" t="str">
        <f>IF(WEEKDAY(Marketing!$D55,2)&lt;6,"Weekday","Weekend")</f>
        <v>Weekday</v>
      </c>
    </row>
    <row r="56" spans="1:25" x14ac:dyDescent="0.35">
      <c r="A56" s="5">
        <v>55</v>
      </c>
      <c r="B56" s="5" t="str">
        <f>TEXT(Marketing!$D56,"MMMM")</f>
        <v>February</v>
      </c>
      <c r="C56" s="5" t="str">
        <f>TEXT(Marketing!$D56,"DDDD")</f>
        <v>Friday</v>
      </c>
      <c r="D56" s="6">
        <v>44232</v>
      </c>
      <c r="E56" s="5" t="s">
        <v>13</v>
      </c>
      <c r="F56" s="5" t="s">
        <v>14</v>
      </c>
      <c r="G56" s="5">
        <v>39889</v>
      </c>
      <c r="H56" s="5">
        <v>8238872</v>
      </c>
      <c r="I56" s="12">
        <v>427922</v>
      </c>
      <c r="J56" s="5">
        <v>20997</v>
      </c>
      <c r="K56" s="5">
        <v>796</v>
      </c>
      <c r="L56" s="5">
        <v>119</v>
      </c>
      <c r="M56" s="12">
        <v>471240</v>
      </c>
      <c r="N56" s="14">
        <v>1.0122872860007198E-3</v>
      </c>
      <c r="O56" s="16">
        <v>2.5485284878803799E-5</v>
      </c>
      <c r="P56" s="18">
        <v>3.791017764442539E-4</v>
      </c>
      <c r="Q56" s="16">
        <v>1.4949748743718595E-3</v>
      </c>
      <c r="R56" s="12">
        <f>IF(Marketing!$L56=0, 0, Marketing!$M56/Marketing!$L56)</f>
        <v>3960</v>
      </c>
      <c r="S56" s="12">
        <f>IF(Marketing!$J56=0,0,Marketing!$I56/Marketing!$J56)</f>
        <v>20.380149545173118</v>
      </c>
      <c r="T56" s="12">
        <f>IF(Marketing!$K56=0,0,Marketing!$I56/Marketing!$K56)</f>
        <v>537.5904522613065</v>
      </c>
      <c r="U56" s="12">
        <f>Marketing!$M56 - Marketing!$I56</f>
        <v>43318</v>
      </c>
      <c r="V56" s="12">
        <f>IF(Marketing!$L56=0,0,Marketing!$I56/Marketing!$L56)</f>
        <v>3595.9831932773109</v>
      </c>
      <c r="W56" s="5" t="str">
        <f>IF(ISNUMBER(SEARCH("tier1",Marketing!$E56)),"Tier 1","Tier 2")</f>
        <v>Tier 2</v>
      </c>
      <c r="X56" s="5" t="str">
        <f t="shared" si="0"/>
        <v>Tier 2</v>
      </c>
      <c r="Y56" s="5" t="str">
        <f>IF(WEEKDAY(Marketing!$D56,2)&lt;6,"Weekday","Weekend")</f>
        <v>Weekday</v>
      </c>
    </row>
    <row r="57" spans="1:25" x14ac:dyDescent="0.35">
      <c r="A57" s="7">
        <v>56</v>
      </c>
      <c r="B57" s="7" t="str">
        <f>TEXT(Marketing!$D57,"MMMM")</f>
        <v>February</v>
      </c>
      <c r="C57" s="7" t="str">
        <f>TEXT(Marketing!$D57,"DDDD")</f>
        <v>Saturday</v>
      </c>
      <c r="D57" s="8">
        <v>44233</v>
      </c>
      <c r="E57" s="7" t="s">
        <v>1</v>
      </c>
      <c r="F57" s="7" t="s">
        <v>2</v>
      </c>
      <c r="G57" s="7">
        <v>349043</v>
      </c>
      <c r="H57" s="7">
        <v>310024</v>
      </c>
      <c r="I57" s="13">
        <v>40407.9</v>
      </c>
      <c r="J57" s="7">
        <v>2391</v>
      </c>
      <c r="K57" s="7">
        <v>76</v>
      </c>
      <c r="L57" s="7">
        <v>9</v>
      </c>
      <c r="M57" s="13">
        <v>46152</v>
      </c>
      <c r="N57" s="15">
        <v>1.4215289584462441E-3</v>
      </c>
      <c r="O57" s="16">
        <v>7.7123061440404617E-5</v>
      </c>
      <c r="P57" s="18">
        <v>3.1785863655374322E-4</v>
      </c>
      <c r="Q57" s="16">
        <v>1.1842105263157893E-3</v>
      </c>
      <c r="R57" s="13">
        <f>IF(Marketing!$L57=0, 0, Marketing!$M57/Marketing!$L57)</f>
        <v>5128</v>
      </c>
      <c r="S57" s="13">
        <f>IF(Marketing!$J57=0,0,Marketing!$I57/Marketing!$J57)</f>
        <v>16.900000000000002</v>
      </c>
      <c r="T57" s="13">
        <f>IF(Marketing!$K57=0,0,Marketing!$I57/Marketing!$K57)</f>
        <v>531.68289473684217</v>
      </c>
      <c r="U57" s="13">
        <f>Marketing!$M57 - Marketing!$I57</f>
        <v>5744.0999999999985</v>
      </c>
      <c r="V57" s="13">
        <f>IF(Marketing!$L57=0,0,Marketing!$I57/Marketing!$L57)</f>
        <v>4489.7666666666664</v>
      </c>
      <c r="W57" s="7" t="str">
        <f>IF(ISNUMBER(SEARCH("tier1",Marketing!$E57)),"Tier 1","Tier 2")</f>
        <v>Tier 1</v>
      </c>
      <c r="X57" s="7" t="str">
        <f t="shared" si="0"/>
        <v>Tier 1</v>
      </c>
      <c r="Y57" s="7" t="str">
        <f>IF(WEEKDAY(Marketing!$D57,2)&lt;6,"Weekday","Weekend")</f>
        <v>Weekend</v>
      </c>
    </row>
    <row r="58" spans="1:25" x14ac:dyDescent="0.35">
      <c r="A58" s="5">
        <v>57</v>
      </c>
      <c r="B58" s="5" t="str">
        <f>TEXT(Marketing!$D58,"MMMM")</f>
        <v>February</v>
      </c>
      <c r="C58" s="5" t="str">
        <f>TEXT(Marketing!$D58,"DDDD")</f>
        <v>Saturday</v>
      </c>
      <c r="D58" s="6">
        <v>44233</v>
      </c>
      <c r="E58" s="7" t="s">
        <v>67</v>
      </c>
      <c r="F58" s="5" t="s">
        <v>2</v>
      </c>
      <c r="G58" s="5">
        <v>348934</v>
      </c>
      <c r="H58" s="5">
        <v>448321</v>
      </c>
      <c r="I58" s="12">
        <v>62272.6</v>
      </c>
      <c r="J58" s="5">
        <v>3302</v>
      </c>
      <c r="K58" s="5">
        <v>108</v>
      </c>
      <c r="L58" s="5">
        <v>9</v>
      </c>
      <c r="M58" s="12">
        <v>44829</v>
      </c>
      <c r="N58" s="14">
        <v>-2.8011677688100384E-3</v>
      </c>
      <c r="O58" s="16">
        <v>7.3652583751374569E-5</v>
      </c>
      <c r="P58" s="18">
        <v>3.2707450030284679E-4</v>
      </c>
      <c r="Q58" s="16">
        <v>8.3333333333333328E-4</v>
      </c>
      <c r="R58" s="12">
        <f>IF(Marketing!$L58=0, 0, Marketing!$M58/Marketing!$L58)</f>
        <v>4981</v>
      </c>
      <c r="S58" s="12">
        <f>IF(Marketing!$J58=0,0,Marketing!$I58/Marketing!$J58)</f>
        <v>18.859055118110234</v>
      </c>
      <c r="T58" s="12">
        <f>IF(Marketing!$K58=0,0,Marketing!$I58/Marketing!$K58)</f>
        <v>576.59814814814808</v>
      </c>
      <c r="U58" s="12">
        <f>Marketing!$M58 - Marketing!$I58</f>
        <v>-17443.599999999999</v>
      </c>
      <c r="V58" s="12">
        <f>IF(Marketing!$L58=0,0,Marketing!$I58/Marketing!$L58)</f>
        <v>6919.1777777777779</v>
      </c>
      <c r="W58" s="5" t="str">
        <f>IF(ISNUMBER(SEARCH("tier1",Marketing!$E58)),"Tier 1","Tier 2")</f>
        <v>Tier 2</v>
      </c>
      <c r="X58" s="5" t="str">
        <f t="shared" si="0"/>
        <v>Tier 2</v>
      </c>
      <c r="Y58" s="5" t="str">
        <f>IF(WEEKDAY(Marketing!$D58,2)&lt;6,"Weekday","Weekend")</f>
        <v>Weekend</v>
      </c>
    </row>
    <row r="59" spans="1:25" x14ac:dyDescent="0.35">
      <c r="A59" s="7">
        <v>58</v>
      </c>
      <c r="B59" s="7" t="str">
        <f>TEXT(Marketing!$D59,"MMMM")</f>
        <v>February</v>
      </c>
      <c r="C59" s="7" t="str">
        <f>TEXT(Marketing!$D59,"DDDD")</f>
        <v>Saturday</v>
      </c>
      <c r="D59" s="8">
        <v>44233</v>
      </c>
      <c r="E59" s="7" t="s">
        <v>3</v>
      </c>
      <c r="F59" s="7" t="s">
        <v>4</v>
      </c>
      <c r="G59" s="7">
        <v>89459845</v>
      </c>
      <c r="H59" s="7">
        <v>44950</v>
      </c>
      <c r="I59" s="13">
        <v>6768.87</v>
      </c>
      <c r="J59" s="7">
        <v>899</v>
      </c>
      <c r="K59" s="7">
        <v>13</v>
      </c>
      <c r="L59" s="7">
        <v>1</v>
      </c>
      <c r="M59" s="13">
        <v>8136</v>
      </c>
      <c r="N59" s="15">
        <v>2.0197315061450437E-3</v>
      </c>
      <c r="O59" s="16">
        <v>2.0000000000000001E-4</v>
      </c>
      <c r="P59" s="18">
        <v>1.4460511679644048E-4</v>
      </c>
      <c r="Q59" s="16">
        <v>7.6923076923076923E-4</v>
      </c>
      <c r="R59" s="13">
        <f>IF(Marketing!$L59=0, 0, Marketing!$M59/Marketing!$L59)</f>
        <v>8136</v>
      </c>
      <c r="S59" s="13">
        <f>IF(Marketing!$J59=0,0,Marketing!$I59/Marketing!$J59)</f>
        <v>7.5293325917686316</v>
      </c>
      <c r="T59" s="13">
        <f>IF(Marketing!$K59=0,0,Marketing!$I59/Marketing!$K59)</f>
        <v>520.68230769230763</v>
      </c>
      <c r="U59" s="13">
        <f>Marketing!$M59 - Marketing!$I59</f>
        <v>1367.13</v>
      </c>
      <c r="V59" s="13">
        <f>IF(Marketing!$L59=0,0,Marketing!$I59/Marketing!$L59)</f>
        <v>6768.87</v>
      </c>
      <c r="W59" s="7" t="str">
        <f>IF(ISNUMBER(SEARCH("tier1",Marketing!$E59)),"Tier 1","Tier 2")</f>
        <v>Tier 2</v>
      </c>
      <c r="X59" s="7" t="str">
        <f t="shared" si="0"/>
        <v>Tier 2</v>
      </c>
      <c r="Y59" s="7" t="str">
        <f>IF(WEEKDAY(Marketing!$D59,2)&lt;6,"Weekday","Weekend")</f>
        <v>Weekend</v>
      </c>
    </row>
    <row r="60" spans="1:25" x14ac:dyDescent="0.35">
      <c r="A60" s="5">
        <v>59</v>
      </c>
      <c r="B60" s="5" t="str">
        <f>TEXT(Marketing!$D60,"MMMM")</f>
        <v>February</v>
      </c>
      <c r="C60" s="5" t="str">
        <f>TEXT(Marketing!$D60,"DDDD")</f>
        <v>Saturday</v>
      </c>
      <c r="D60" s="6">
        <v>44233</v>
      </c>
      <c r="E60" s="5" t="s">
        <v>5</v>
      </c>
      <c r="F60" s="5" t="s">
        <v>4</v>
      </c>
      <c r="G60" s="5">
        <v>127823</v>
      </c>
      <c r="H60" s="5">
        <v>478400</v>
      </c>
      <c r="I60" s="12">
        <v>22542</v>
      </c>
      <c r="J60" s="5">
        <v>2392</v>
      </c>
      <c r="K60" s="5">
        <v>48</v>
      </c>
      <c r="L60" s="5">
        <v>6</v>
      </c>
      <c r="M60" s="12">
        <v>13152</v>
      </c>
      <c r="N60" s="14">
        <v>-4.1655576257652385E-3</v>
      </c>
      <c r="O60" s="16">
        <v>5.0000000000000002E-5</v>
      </c>
      <c r="P60" s="18">
        <v>2.0066889632107025E-4</v>
      </c>
      <c r="Q60" s="16">
        <v>1.25E-3</v>
      </c>
      <c r="R60" s="12">
        <f>IF(Marketing!$L60=0, 0, Marketing!$M60/Marketing!$L60)</f>
        <v>2192</v>
      </c>
      <c r="S60" s="12">
        <f>IF(Marketing!$J60=0,0,Marketing!$I60/Marketing!$J60)</f>
        <v>9.4239130434782616</v>
      </c>
      <c r="T60" s="12">
        <f>IF(Marketing!$K60=0,0,Marketing!$I60/Marketing!$K60)</f>
        <v>469.625</v>
      </c>
      <c r="U60" s="12">
        <f>Marketing!$M60 - Marketing!$I60</f>
        <v>-9390</v>
      </c>
      <c r="V60" s="12">
        <f>IF(Marketing!$L60=0,0,Marketing!$I60/Marketing!$L60)</f>
        <v>3757</v>
      </c>
      <c r="W60" s="5" t="str">
        <f>IF(ISNUMBER(SEARCH("tier1",Marketing!$E60)),"Tier 1","Tier 2")</f>
        <v>Tier 2</v>
      </c>
      <c r="X60" s="5" t="str">
        <f t="shared" si="0"/>
        <v>Tier 2</v>
      </c>
      <c r="Y60" s="5" t="str">
        <f>IF(WEEKDAY(Marketing!$D60,2)&lt;6,"Weekday","Weekend")</f>
        <v>Weekend</v>
      </c>
    </row>
    <row r="61" spans="1:25" x14ac:dyDescent="0.35">
      <c r="A61" s="7">
        <v>60</v>
      </c>
      <c r="B61" s="7" t="str">
        <f>TEXT(Marketing!$D61,"MMMM")</f>
        <v>February</v>
      </c>
      <c r="C61" s="7" t="str">
        <f>TEXT(Marketing!$D61,"DDDD")</f>
        <v>Saturday</v>
      </c>
      <c r="D61" s="8">
        <v>44233</v>
      </c>
      <c r="E61" s="7" t="s">
        <v>6</v>
      </c>
      <c r="F61" s="7" t="s">
        <v>7</v>
      </c>
      <c r="G61" s="7">
        <v>10934</v>
      </c>
      <c r="H61" s="7">
        <v>472252</v>
      </c>
      <c r="I61" s="13">
        <v>80971.399999999994</v>
      </c>
      <c r="J61" s="7">
        <v>4508</v>
      </c>
      <c r="K61" s="7">
        <v>133</v>
      </c>
      <c r="L61" s="7">
        <v>27</v>
      </c>
      <c r="M61" s="13">
        <v>215487</v>
      </c>
      <c r="N61" s="15">
        <v>1.6612729926863069E-2</v>
      </c>
      <c r="O61" s="16">
        <v>9.5457509973488722E-5</v>
      </c>
      <c r="P61" s="18">
        <v>2.9503105590062112E-4</v>
      </c>
      <c r="Q61" s="16">
        <v>2.0300751879699249E-3</v>
      </c>
      <c r="R61" s="13">
        <f>IF(Marketing!$L61=0, 0, Marketing!$M61/Marketing!$L61)</f>
        <v>7981</v>
      </c>
      <c r="S61" s="13">
        <f>IF(Marketing!$J61=0,0,Marketing!$I61/Marketing!$J61)</f>
        <v>17.961712511091392</v>
      </c>
      <c r="T61" s="13">
        <f>IF(Marketing!$K61=0,0,Marketing!$I61/Marketing!$K61)</f>
        <v>608.80751879699244</v>
      </c>
      <c r="U61" s="13">
        <f>Marketing!$M61 - Marketing!$I61</f>
        <v>134515.6</v>
      </c>
      <c r="V61" s="13">
        <f>IF(Marketing!$L61=0,0,Marketing!$I61/Marketing!$L61)</f>
        <v>2998.9407407407407</v>
      </c>
      <c r="W61" s="7" t="str">
        <f>IF(ISNUMBER(SEARCH("tier1",Marketing!$E61)),"Tier 1","Tier 2")</f>
        <v>Tier 2</v>
      </c>
      <c r="X61" s="7" t="str">
        <f t="shared" si="0"/>
        <v>Tier 2</v>
      </c>
      <c r="Y61" s="7" t="str">
        <f>IF(WEEKDAY(Marketing!$D61,2)&lt;6,"Weekday","Weekend")</f>
        <v>Weekend</v>
      </c>
    </row>
    <row r="62" spans="1:25" x14ac:dyDescent="0.35">
      <c r="A62" s="5">
        <v>61</v>
      </c>
      <c r="B62" s="5" t="str">
        <f>TEXT(Marketing!$D62,"MMMM")</f>
        <v>February</v>
      </c>
      <c r="C62" s="5" t="str">
        <f>TEXT(Marketing!$D62,"DDDD")</f>
        <v>Saturday</v>
      </c>
      <c r="D62" s="6">
        <v>44233</v>
      </c>
      <c r="E62" s="5" t="s">
        <v>8</v>
      </c>
      <c r="F62" s="5" t="s">
        <v>2</v>
      </c>
      <c r="G62" s="5">
        <v>9034945</v>
      </c>
      <c r="H62" s="5">
        <v>425467</v>
      </c>
      <c r="I62" s="12">
        <v>3661.53</v>
      </c>
      <c r="J62" s="5">
        <v>2695</v>
      </c>
      <c r="K62" s="5">
        <v>14</v>
      </c>
      <c r="L62" s="5">
        <v>1</v>
      </c>
      <c r="M62" s="12">
        <v>5958</v>
      </c>
      <c r="N62" s="14">
        <v>6.2718863425944883E-3</v>
      </c>
      <c r="O62" s="16">
        <v>6.3342162846942302E-5</v>
      </c>
      <c r="P62" s="18">
        <v>5.1948051948051951E-5</v>
      </c>
      <c r="Q62" s="16">
        <v>7.1428571428571429E-4</v>
      </c>
      <c r="R62" s="12">
        <f>IF(Marketing!$L62=0, 0, Marketing!$M62/Marketing!$L62)</f>
        <v>5958</v>
      </c>
      <c r="S62" s="12">
        <f>IF(Marketing!$J62=0,0,Marketing!$I62/Marketing!$J62)</f>
        <v>1.3586382189239332</v>
      </c>
      <c r="T62" s="12">
        <f>IF(Marketing!$K62=0,0,Marketing!$I62/Marketing!$K62)</f>
        <v>261.53785714285715</v>
      </c>
      <c r="U62" s="12">
        <f>Marketing!$M62 - Marketing!$I62</f>
        <v>2296.4699999999998</v>
      </c>
      <c r="V62" s="12">
        <f>IF(Marketing!$L62=0,0,Marketing!$I62/Marketing!$L62)</f>
        <v>3661.53</v>
      </c>
      <c r="W62" s="5" t="str">
        <f>IF(ISNUMBER(SEARCH("tier1",Marketing!$E62)),"Tier 1","Tier 2")</f>
        <v>Tier 1</v>
      </c>
      <c r="X62" s="5" t="str">
        <f t="shared" si="0"/>
        <v>Tier 1</v>
      </c>
      <c r="Y62" s="5" t="str">
        <f>IF(WEEKDAY(Marketing!$D62,2)&lt;6,"Weekday","Weekend")</f>
        <v>Weekend</v>
      </c>
    </row>
    <row r="63" spans="1:25" x14ac:dyDescent="0.35">
      <c r="A63" s="7">
        <v>62</v>
      </c>
      <c r="B63" s="7" t="str">
        <f>TEXT(Marketing!$D63,"MMMM")</f>
        <v>February</v>
      </c>
      <c r="C63" s="7" t="str">
        <f>TEXT(Marketing!$D63,"DDDD")</f>
        <v>Saturday</v>
      </c>
      <c r="D63" s="8">
        <v>44233</v>
      </c>
      <c r="E63" s="7" t="s">
        <v>9</v>
      </c>
      <c r="F63" s="7" t="s">
        <v>2</v>
      </c>
      <c r="G63" s="7">
        <v>983498</v>
      </c>
      <c r="H63" s="7">
        <v>1589341</v>
      </c>
      <c r="I63" s="13">
        <v>12183.4</v>
      </c>
      <c r="J63" s="7">
        <v>5092</v>
      </c>
      <c r="K63" s="7">
        <v>102</v>
      </c>
      <c r="L63" s="7">
        <v>5</v>
      </c>
      <c r="M63" s="13">
        <v>12295</v>
      </c>
      <c r="N63" s="15">
        <v>9.1600045964181074E-5</v>
      </c>
      <c r="O63" s="16">
        <v>3.203843605620191E-5</v>
      </c>
      <c r="P63" s="18">
        <v>2.0031421838177536E-4</v>
      </c>
      <c r="Q63" s="16">
        <v>4.9019607843137254E-4</v>
      </c>
      <c r="R63" s="13">
        <f>IF(Marketing!$L63=0, 0, Marketing!$M63/Marketing!$L63)</f>
        <v>2459</v>
      </c>
      <c r="S63" s="13">
        <f>IF(Marketing!$J63=0,0,Marketing!$I63/Marketing!$J63)</f>
        <v>2.3926551453260014</v>
      </c>
      <c r="T63" s="13">
        <f>IF(Marketing!$K63=0,0,Marketing!$I63/Marketing!$K63)</f>
        <v>119.44509803921568</v>
      </c>
      <c r="U63" s="13">
        <f>Marketing!$M63 - Marketing!$I63</f>
        <v>111.60000000000036</v>
      </c>
      <c r="V63" s="13">
        <f>IF(Marketing!$L63=0,0,Marketing!$I63/Marketing!$L63)</f>
        <v>2436.6799999999998</v>
      </c>
      <c r="W63" s="7" t="str">
        <f>IF(ISNUMBER(SEARCH("tier1",Marketing!$E63)),"Tier 1","Tier 2")</f>
        <v>Tier 2</v>
      </c>
      <c r="X63" s="7" t="str">
        <f t="shared" si="0"/>
        <v>Tier 2</v>
      </c>
      <c r="Y63" s="7" t="str">
        <f>IF(WEEKDAY(Marketing!$D63,2)&lt;6,"Weekday","Weekend")</f>
        <v>Weekend</v>
      </c>
    </row>
    <row r="64" spans="1:25" x14ac:dyDescent="0.35">
      <c r="A64" s="5">
        <v>63</v>
      </c>
      <c r="B64" s="5" t="str">
        <f>TEXT(Marketing!$D64,"MMMM")</f>
        <v>February</v>
      </c>
      <c r="C64" s="5" t="str">
        <f>TEXT(Marketing!$D64,"DDDD")</f>
        <v>Saturday</v>
      </c>
      <c r="D64" s="6">
        <v>44233</v>
      </c>
      <c r="E64" s="5" t="s">
        <v>10</v>
      </c>
      <c r="F64" s="5" t="s">
        <v>2</v>
      </c>
      <c r="G64" s="5">
        <v>4387490</v>
      </c>
      <c r="H64" s="5">
        <v>10200</v>
      </c>
      <c r="I64" s="12">
        <v>1420.15</v>
      </c>
      <c r="J64" s="5">
        <v>306</v>
      </c>
      <c r="K64" s="5">
        <v>6</v>
      </c>
      <c r="L64" s="5">
        <v>1</v>
      </c>
      <c r="M64" s="12">
        <v>5492</v>
      </c>
      <c r="N64" s="14">
        <v>2.8671971270640424E-2</v>
      </c>
      <c r="O64" s="16">
        <v>2.9999999999999997E-4</v>
      </c>
      <c r="P64" s="18">
        <v>1.9607843137254901E-4</v>
      </c>
      <c r="Q64" s="16">
        <v>1.6666666666666666E-3</v>
      </c>
      <c r="R64" s="12">
        <f>IF(Marketing!$L64=0, 0, Marketing!$M64/Marketing!$L64)</f>
        <v>5492</v>
      </c>
      <c r="S64" s="12">
        <f>IF(Marketing!$J64=0,0,Marketing!$I64/Marketing!$J64)</f>
        <v>4.6410130718954248</v>
      </c>
      <c r="T64" s="12">
        <f>IF(Marketing!$K64=0,0,Marketing!$I64/Marketing!$K64)</f>
        <v>236.69166666666669</v>
      </c>
      <c r="U64" s="12">
        <f>Marketing!$M64 - Marketing!$I64</f>
        <v>4071.85</v>
      </c>
      <c r="V64" s="12">
        <f>IF(Marketing!$L64=0,0,Marketing!$I64/Marketing!$L64)</f>
        <v>1420.15</v>
      </c>
      <c r="W64" s="5" t="str">
        <f>IF(ISNUMBER(SEARCH("tier1",Marketing!$E64)),"Tier 1","Tier 2")</f>
        <v>Tier 2</v>
      </c>
      <c r="X64" s="5" t="str">
        <f t="shared" si="0"/>
        <v>Tier 2</v>
      </c>
      <c r="Y64" s="5" t="str">
        <f>IF(WEEKDAY(Marketing!$D64,2)&lt;6,"Weekday","Weekend")</f>
        <v>Weekend</v>
      </c>
    </row>
    <row r="65" spans="1:25" x14ac:dyDescent="0.35">
      <c r="A65" s="7">
        <v>64</v>
      </c>
      <c r="B65" s="7" t="str">
        <f>TEXT(Marketing!$D65,"MMMM")</f>
        <v>February</v>
      </c>
      <c r="C65" s="7" t="str">
        <f>TEXT(Marketing!$D65,"DDDD")</f>
        <v>Saturday</v>
      </c>
      <c r="D65" s="8">
        <v>44233</v>
      </c>
      <c r="E65" s="7" t="s">
        <v>11</v>
      </c>
      <c r="F65" s="7" t="s">
        <v>2</v>
      </c>
      <c r="G65" s="7">
        <v>544756</v>
      </c>
      <c r="H65" s="7">
        <v>119700</v>
      </c>
      <c r="I65" s="13">
        <v>29281</v>
      </c>
      <c r="J65" s="7">
        <v>1197</v>
      </c>
      <c r="K65" s="7">
        <v>24</v>
      </c>
      <c r="L65" s="7">
        <v>4</v>
      </c>
      <c r="M65" s="13">
        <v>6428</v>
      </c>
      <c r="N65" s="15">
        <v>-7.8047197841603763E-3</v>
      </c>
      <c r="O65" s="16">
        <v>1E-4</v>
      </c>
      <c r="P65" s="18">
        <v>2.0050125313283206E-4</v>
      </c>
      <c r="Q65" s="16">
        <v>1.6666666666666666E-3</v>
      </c>
      <c r="R65" s="13">
        <f>IF(Marketing!$L65=0, 0, Marketing!$M65/Marketing!$L65)</f>
        <v>1607</v>
      </c>
      <c r="S65" s="13">
        <f>IF(Marketing!$J65=0,0,Marketing!$I65/Marketing!$J65)</f>
        <v>24.461988304093566</v>
      </c>
      <c r="T65" s="13">
        <f>IF(Marketing!$K65=0,0,Marketing!$I65/Marketing!$K65)</f>
        <v>1220.0416666666667</v>
      </c>
      <c r="U65" s="13">
        <f>Marketing!$M65 - Marketing!$I65</f>
        <v>-22853</v>
      </c>
      <c r="V65" s="13">
        <f>IF(Marketing!$L65=0,0,Marketing!$I65/Marketing!$L65)</f>
        <v>7320.25</v>
      </c>
      <c r="W65" s="7" t="str">
        <f>IF(ISNUMBER(SEARCH("tier1",Marketing!$E65)),"Tier 1","Tier 2")</f>
        <v>Tier 2</v>
      </c>
      <c r="X65" s="7" t="str">
        <f t="shared" si="0"/>
        <v>Tier 2</v>
      </c>
      <c r="Y65" s="7" t="str">
        <f>IF(WEEKDAY(Marketing!$D65,2)&lt;6,"Weekday","Weekend")</f>
        <v>Weekend</v>
      </c>
    </row>
    <row r="66" spans="1:25" x14ac:dyDescent="0.35">
      <c r="A66" s="5">
        <v>65</v>
      </c>
      <c r="B66" s="5" t="str">
        <f>TEXT(Marketing!$D66,"MMMM")</f>
        <v>February</v>
      </c>
      <c r="C66" s="5" t="str">
        <f>TEXT(Marketing!$D66,"DDDD")</f>
        <v>Saturday</v>
      </c>
      <c r="D66" s="6">
        <v>44233</v>
      </c>
      <c r="E66" s="5" t="s">
        <v>12</v>
      </c>
      <c r="F66" s="5" t="s">
        <v>7</v>
      </c>
      <c r="G66" s="5">
        <v>374754</v>
      </c>
      <c r="H66" s="5">
        <v>300700</v>
      </c>
      <c r="I66" s="12">
        <v>8289.2099999999991</v>
      </c>
      <c r="J66" s="5">
        <v>3007</v>
      </c>
      <c r="K66" s="5">
        <v>20</v>
      </c>
      <c r="L66" s="5">
        <v>2</v>
      </c>
      <c r="M66" s="12">
        <v>9450</v>
      </c>
      <c r="N66" s="14">
        <v>1.4003626401068389E-3</v>
      </c>
      <c r="O66" s="16">
        <v>1E-4</v>
      </c>
      <c r="P66" s="18">
        <v>6.6511473229132029E-5</v>
      </c>
      <c r="Q66" s="16">
        <v>1E-3</v>
      </c>
      <c r="R66" s="12">
        <f>IF(Marketing!$L66=0, 0, Marketing!$M66/Marketing!$L66)</f>
        <v>4725</v>
      </c>
      <c r="S66" s="12">
        <f>IF(Marketing!$J66=0,0,Marketing!$I66/Marketing!$J66)</f>
        <v>2.7566378450282669</v>
      </c>
      <c r="T66" s="12">
        <f>IF(Marketing!$K66=0,0,Marketing!$I66/Marketing!$K66)</f>
        <v>414.46049999999997</v>
      </c>
      <c r="U66" s="12">
        <f>Marketing!$M66 - Marketing!$I66</f>
        <v>1160.7900000000009</v>
      </c>
      <c r="V66" s="12">
        <f>IF(Marketing!$L66=0,0,Marketing!$I66/Marketing!$L66)</f>
        <v>4144.6049999999996</v>
      </c>
      <c r="W66" s="5" t="str">
        <f>IF(ISNUMBER(SEARCH("tier1",Marketing!$E66)),"Tier 1","Tier 2")</f>
        <v>Tier 2</v>
      </c>
      <c r="X66" s="5" t="str">
        <f t="shared" ref="X66:X129" si="1">IF(ISNUMBER(SEARCH("tier1", E66)), "Tier 1", IF(ISNUMBER(SEARCH("tier2", E66)), "Tier 2", "Tier 2"))</f>
        <v>Tier 2</v>
      </c>
      <c r="Y66" s="5" t="str">
        <f>IF(WEEKDAY(Marketing!$D66,2)&lt;6,"Weekday","Weekend")</f>
        <v>Weekend</v>
      </c>
    </row>
    <row r="67" spans="1:25" x14ac:dyDescent="0.35">
      <c r="A67" s="7">
        <v>66</v>
      </c>
      <c r="B67" s="7" t="str">
        <f>TEXT(Marketing!$D67,"MMMM")</f>
        <v>February</v>
      </c>
      <c r="C67" s="7" t="str">
        <f>TEXT(Marketing!$D67,"DDDD")</f>
        <v>Saturday</v>
      </c>
      <c r="D67" s="8">
        <v>44233</v>
      </c>
      <c r="E67" s="7" t="s">
        <v>13</v>
      </c>
      <c r="F67" s="7" t="s">
        <v>14</v>
      </c>
      <c r="G67" s="7">
        <v>39889</v>
      </c>
      <c r="H67" s="7">
        <v>42070000</v>
      </c>
      <c r="I67" s="13">
        <v>38185.199999999997</v>
      </c>
      <c r="J67" s="7">
        <v>4207</v>
      </c>
      <c r="K67" s="7">
        <v>84</v>
      </c>
      <c r="L67" s="7">
        <v>10</v>
      </c>
      <c r="M67" s="13">
        <v>48820</v>
      </c>
      <c r="N67" s="15">
        <v>2.7850580853314905E-3</v>
      </c>
      <c r="O67" s="16">
        <v>9.9999999999999995E-7</v>
      </c>
      <c r="P67" s="18">
        <v>1.9966722129783693E-4</v>
      </c>
      <c r="Q67" s="16">
        <v>1.1904761904761904E-3</v>
      </c>
      <c r="R67" s="13">
        <f>IF(Marketing!$L67=0, 0, Marketing!$M67/Marketing!$L67)</f>
        <v>4882</v>
      </c>
      <c r="S67" s="13">
        <f>IF(Marketing!$J67=0,0,Marketing!$I67/Marketing!$J67)</f>
        <v>9.0765866413120975</v>
      </c>
      <c r="T67" s="13">
        <f>IF(Marketing!$K67=0,0,Marketing!$I67/Marketing!$K67)</f>
        <v>454.58571428571423</v>
      </c>
      <c r="U67" s="13">
        <f>Marketing!$M67 - Marketing!$I67</f>
        <v>10634.800000000003</v>
      </c>
      <c r="V67" s="13">
        <f>IF(Marketing!$L67=0,0,Marketing!$I67/Marketing!$L67)</f>
        <v>3818.5199999999995</v>
      </c>
      <c r="W67" s="7" t="str">
        <f>IF(ISNUMBER(SEARCH("tier1",Marketing!$E67)),"Tier 1","Tier 2")</f>
        <v>Tier 2</v>
      </c>
      <c r="X67" s="7" t="str">
        <f t="shared" si="1"/>
        <v>Tier 2</v>
      </c>
      <c r="Y67" s="7" t="str">
        <f>IF(WEEKDAY(Marketing!$D67,2)&lt;6,"Weekday","Weekend")</f>
        <v>Weekend</v>
      </c>
    </row>
    <row r="68" spans="1:25" x14ac:dyDescent="0.35">
      <c r="A68" s="5">
        <v>67</v>
      </c>
      <c r="B68" s="5" t="str">
        <f>TEXT(Marketing!$D68,"MMMM")</f>
        <v>February</v>
      </c>
      <c r="C68" s="5" t="str">
        <f>TEXT(Marketing!$D68,"DDDD")</f>
        <v>Sunday</v>
      </c>
      <c r="D68" s="6">
        <v>44234</v>
      </c>
      <c r="E68" s="5" t="s">
        <v>1</v>
      </c>
      <c r="F68" s="5" t="s">
        <v>2</v>
      </c>
      <c r="G68" s="5">
        <v>349043</v>
      </c>
      <c r="H68" s="5">
        <v>478000</v>
      </c>
      <c r="I68" s="12">
        <v>27314.400000000001</v>
      </c>
      <c r="J68" s="5">
        <v>2390</v>
      </c>
      <c r="K68" s="5">
        <v>45</v>
      </c>
      <c r="L68" s="5">
        <v>5</v>
      </c>
      <c r="M68" s="12">
        <v>24905</v>
      </c>
      <c r="N68" s="14">
        <v>-8.8209881967021104E-4</v>
      </c>
      <c r="O68" s="16">
        <v>5.0000000000000002E-5</v>
      </c>
      <c r="P68" s="18">
        <v>1.882845188284519E-4</v>
      </c>
      <c r="Q68" s="16">
        <v>1.1111111111111111E-3</v>
      </c>
      <c r="R68" s="12">
        <f>IF(Marketing!$L68=0, 0, Marketing!$M68/Marketing!$L68)</f>
        <v>4981</v>
      </c>
      <c r="S68" s="12">
        <f>IF(Marketing!$J68=0,0,Marketing!$I68/Marketing!$J68)</f>
        <v>11.428619246861926</v>
      </c>
      <c r="T68" s="12">
        <f>IF(Marketing!$K68=0,0,Marketing!$I68/Marketing!$K68)</f>
        <v>606.98666666666668</v>
      </c>
      <c r="U68" s="12">
        <f>Marketing!$M68 - Marketing!$I68</f>
        <v>-2409.4000000000015</v>
      </c>
      <c r="V68" s="12">
        <f>IF(Marketing!$L68=0,0,Marketing!$I68/Marketing!$L68)</f>
        <v>5462.88</v>
      </c>
      <c r="W68" s="5" t="str">
        <f>IF(ISNUMBER(SEARCH("tier1",Marketing!$E68)),"Tier 1","Tier 2")</f>
        <v>Tier 1</v>
      </c>
      <c r="X68" s="5" t="str">
        <f t="shared" si="1"/>
        <v>Tier 1</v>
      </c>
      <c r="Y68" s="5" t="str">
        <f>IF(WEEKDAY(Marketing!$D68,2)&lt;6,"Weekday","Weekend")</f>
        <v>Weekend</v>
      </c>
    </row>
    <row r="69" spans="1:25" x14ac:dyDescent="0.35">
      <c r="A69" s="7">
        <v>68</v>
      </c>
      <c r="B69" s="7" t="str">
        <f>TEXT(Marketing!$D69,"MMMM")</f>
        <v>February</v>
      </c>
      <c r="C69" s="7" t="str">
        <f>TEXT(Marketing!$D69,"DDDD")</f>
        <v>Sunday</v>
      </c>
      <c r="D69" s="8">
        <v>44234</v>
      </c>
      <c r="E69" s="7" t="s">
        <v>67</v>
      </c>
      <c r="F69" s="7" t="s">
        <v>2</v>
      </c>
      <c r="G69" s="7">
        <v>348934</v>
      </c>
      <c r="H69" s="7">
        <v>659000</v>
      </c>
      <c r="I69" s="13">
        <v>38485.599999999999</v>
      </c>
      <c r="J69" s="7">
        <v>3295</v>
      </c>
      <c r="K69" s="7">
        <v>66</v>
      </c>
      <c r="L69" s="7">
        <v>5</v>
      </c>
      <c r="M69" s="13">
        <v>23735</v>
      </c>
      <c r="N69" s="15">
        <v>-3.8327582264535303E-3</v>
      </c>
      <c r="O69" s="16">
        <v>5.0000000000000002E-5</v>
      </c>
      <c r="P69" s="18">
        <v>2.0030349013657058E-4</v>
      </c>
      <c r="Q69" s="16">
        <v>7.5757575757575758E-4</v>
      </c>
      <c r="R69" s="13">
        <f>IF(Marketing!$L69=0, 0, Marketing!$M69/Marketing!$L69)</f>
        <v>4747</v>
      </c>
      <c r="S69" s="13">
        <f>IF(Marketing!$J69=0,0,Marketing!$I69/Marketing!$J69)</f>
        <v>11.68</v>
      </c>
      <c r="T69" s="13">
        <f>IF(Marketing!$K69=0,0,Marketing!$I69/Marketing!$K69)</f>
        <v>583.11515151515152</v>
      </c>
      <c r="U69" s="13">
        <f>Marketing!$M69 - Marketing!$I69</f>
        <v>-14750.599999999999</v>
      </c>
      <c r="V69" s="13">
        <f>IF(Marketing!$L69=0,0,Marketing!$I69/Marketing!$L69)</f>
        <v>7697.12</v>
      </c>
      <c r="W69" s="7" t="str">
        <f>IF(ISNUMBER(SEARCH("tier1",Marketing!$E69)),"Tier 1","Tier 2")</f>
        <v>Tier 2</v>
      </c>
      <c r="X69" s="7" t="str">
        <f t="shared" si="1"/>
        <v>Tier 2</v>
      </c>
      <c r="Y69" s="7" t="str">
        <f>IF(WEEKDAY(Marketing!$D69,2)&lt;6,"Weekday","Weekend")</f>
        <v>Weekend</v>
      </c>
    </row>
    <row r="70" spans="1:25" x14ac:dyDescent="0.35">
      <c r="A70" s="5">
        <v>69</v>
      </c>
      <c r="B70" s="5" t="str">
        <f>TEXT(Marketing!$D70,"MMMM")</f>
        <v>February</v>
      </c>
      <c r="C70" s="5" t="str">
        <f>TEXT(Marketing!$D70,"DDDD")</f>
        <v>Sunday</v>
      </c>
      <c r="D70" s="6">
        <v>44234</v>
      </c>
      <c r="E70" s="5" t="s">
        <v>3</v>
      </c>
      <c r="F70" s="5" t="s">
        <v>4</v>
      </c>
      <c r="G70" s="5">
        <v>89459845</v>
      </c>
      <c r="H70" s="5">
        <v>44650</v>
      </c>
      <c r="I70" s="12">
        <v>6426</v>
      </c>
      <c r="J70" s="5">
        <v>893</v>
      </c>
      <c r="K70" s="5">
        <v>18</v>
      </c>
      <c r="L70" s="5">
        <v>2</v>
      </c>
      <c r="M70" s="12">
        <v>14152</v>
      </c>
      <c r="N70" s="14">
        <v>1.202303143479614E-2</v>
      </c>
      <c r="O70" s="16">
        <v>2.0000000000000001E-4</v>
      </c>
      <c r="P70" s="18">
        <v>2.0156774916013436E-4</v>
      </c>
      <c r="Q70" s="16">
        <v>1.1111111111111111E-3</v>
      </c>
      <c r="R70" s="12">
        <f>IF(Marketing!$L70=0, 0, Marketing!$M70/Marketing!$L70)</f>
        <v>7076</v>
      </c>
      <c r="S70" s="12">
        <f>IF(Marketing!$J70=0,0,Marketing!$I70/Marketing!$J70)</f>
        <v>7.195968645016797</v>
      </c>
      <c r="T70" s="12">
        <f>IF(Marketing!$K70=0,0,Marketing!$I70/Marketing!$K70)</f>
        <v>357</v>
      </c>
      <c r="U70" s="12">
        <f>Marketing!$M70 - Marketing!$I70</f>
        <v>7726</v>
      </c>
      <c r="V70" s="12">
        <f>IF(Marketing!$L70=0,0,Marketing!$I70/Marketing!$L70)</f>
        <v>3213</v>
      </c>
      <c r="W70" s="5" t="str">
        <f>IF(ISNUMBER(SEARCH("tier1",Marketing!$E70)),"Tier 1","Tier 2")</f>
        <v>Tier 2</v>
      </c>
      <c r="X70" s="5" t="str">
        <f t="shared" si="1"/>
        <v>Tier 2</v>
      </c>
      <c r="Y70" s="5" t="str">
        <f>IF(WEEKDAY(Marketing!$D70,2)&lt;6,"Weekday","Weekend")</f>
        <v>Weekend</v>
      </c>
    </row>
    <row r="71" spans="1:25" x14ac:dyDescent="0.35">
      <c r="A71" s="7">
        <v>70</v>
      </c>
      <c r="B71" s="7" t="str">
        <f>TEXT(Marketing!$D71,"MMMM")</f>
        <v>February</v>
      </c>
      <c r="C71" s="7" t="str">
        <f>TEXT(Marketing!$D71,"DDDD")</f>
        <v>Sunday</v>
      </c>
      <c r="D71" s="8">
        <v>44234</v>
      </c>
      <c r="E71" s="7" t="s">
        <v>5</v>
      </c>
      <c r="F71" s="7" t="s">
        <v>4</v>
      </c>
      <c r="G71" s="7">
        <v>127823</v>
      </c>
      <c r="H71" s="7">
        <v>1137473</v>
      </c>
      <c r="I71" s="13">
        <v>18102.099999999999</v>
      </c>
      <c r="J71" s="7">
        <v>2404</v>
      </c>
      <c r="K71" s="7">
        <v>48</v>
      </c>
      <c r="L71" s="7">
        <v>5</v>
      </c>
      <c r="M71" s="13">
        <v>17845</v>
      </c>
      <c r="N71" s="15">
        <v>-1.4202772054070994E-4</v>
      </c>
      <c r="O71" s="16">
        <v>2.1134567589736199E-5</v>
      </c>
      <c r="P71" s="18">
        <v>1.9966722129783693E-4</v>
      </c>
      <c r="Q71" s="16">
        <v>1.0416666666666667E-3</v>
      </c>
      <c r="R71" s="13">
        <f>IF(Marketing!$L71=0, 0, Marketing!$M71/Marketing!$L71)</f>
        <v>3569</v>
      </c>
      <c r="S71" s="13">
        <f>IF(Marketing!$J71=0,0,Marketing!$I71/Marketing!$J71)</f>
        <v>7.5299916805324454</v>
      </c>
      <c r="T71" s="13">
        <f>IF(Marketing!$K71=0,0,Marketing!$I71/Marketing!$K71)</f>
        <v>377.1270833333333</v>
      </c>
      <c r="U71" s="13">
        <f>Marketing!$M71 - Marketing!$I71</f>
        <v>-257.09999999999854</v>
      </c>
      <c r="V71" s="13">
        <f>IF(Marketing!$L71=0,0,Marketing!$I71/Marketing!$L71)</f>
        <v>3620.4199999999996</v>
      </c>
      <c r="W71" s="7" t="str">
        <f>IF(ISNUMBER(SEARCH("tier1",Marketing!$E71)),"Tier 1","Tier 2")</f>
        <v>Tier 2</v>
      </c>
      <c r="X71" s="7" t="str">
        <f t="shared" si="1"/>
        <v>Tier 2</v>
      </c>
      <c r="Y71" s="7" t="str">
        <f>IF(WEEKDAY(Marketing!$D71,2)&lt;6,"Weekday","Weekend")</f>
        <v>Weekend</v>
      </c>
    </row>
    <row r="72" spans="1:25" x14ac:dyDescent="0.35">
      <c r="A72" s="5">
        <v>71</v>
      </c>
      <c r="B72" s="5" t="str">
        <f>TEXT(Marketing!$D72,"MMMM")</f>
        <v>February</v>
      </c>
      <c r="C72" s="5" t="str">
        <f>TEXT(Marketing!$D72,"DDDD")</f>
        <v>Sunday</v>
      </c>
      <c r="D72" s="6">
        <v>44234</v>
      </c>
      <c r="E72" s="5" t="s">
        <v>6</v>
      </c>
      <c r="F72" s="5" t="s">
        <v>7</v>
      </c>
      <c r="G72" s="5">
        <v>10934</v>
      </c>
      <c r="H72" s="5">
        <v>694624</v>
      </c>
      <c r="I72" s="12">
        <v>31680.1</v>
      </c>
      <c r="J72" s="5">
        <v>4505</v>
      </c>
      <c r="K72" s="5">
        <v>82</v>
      </c>
      <c r="L72" s="5">
        <v>15</v>
      </c>
      <c r="M72" s="12">
        <v>119715</v>
      </c>
      <c r="N72" s="14">
        <v>2.7788706475042693E-2</v>
      </c>
      <c r="O72" s="16">
        <v>6.4855231031464509E-5</v>
      </c>
      <c r="P72" s="18">
        <v>1.8201997780244172E-4</v>
      </c>
      <c r="Q72" s="16">
        <v>1.8292682926829267E-3</v>
      </c>
      <c r="R72" s="12">
        <f>IF(Marketing!$L72=0, 0, Marketing!$M72/Marketing!$L72)</f>
        <v>7981</v>
      </c>
      <c r="S72" s="12">
        <f>IF(Marketing!$J72=0,0,Marketing!$I72/Marketing!$J72)</f>
        <v>7.0322086570477245</v>
      </c>
      <c r="T72" s="12">
        <f>IF(Marketing!$K72=0,0,Marketing!$I72/Marketing!$K72)</f>
        <v>386.34268292682924</v>
      </c>
      <c r="U72" s="12">
        <f>Marketing!$M72 - Marketing!$I72</f>
        <v>88034.9</v>
      </c>
      <c r="V72" s="12">
        <f>IF(Marketing!$L72=0,0,Marketing!$I72/Marketing!$L72)</f>
        <v>2112.0066666666667</v>
      </c>
      <c r="W72" s="5" t="str">
        <f>IF(ISNUMBER(SEARCH("tier1",Marketing!$E72)),"Tier 1","Tier 2")</f>
        <v>Tier 2</v>
      </c>
      <c r="X72" s="5" t="str">
        <f t="shared" si="1"/>
        <v>Tier 2</v>
      </c>
      <c r="Y72" s="5" t="str">
        <f>IF(WEEKDAY(Marketing!$D72,2)&lt;6,"Weekday","Weekend")</f>
        <v>Weekend</v>
      </c>
    </row>
    <row r="73" spans="1:25" x14ac:dyDescent="0.35">
      <c r="A73" s="7">
        <v>72</v>
      </c>
      <c r="B73" s="7" t="str">
        <f>TEXT(Marketing!$D73,"MMMM")</f>
        <v>February</v>
      </c>
      <c r="C73" s="7" t="str">
        <f>TEXT(Marketing!$D73,"DDDD")</f>
        <v>Sunday</v>
      </c>
      <c r="D73" s="8">
        <v>44234</v>
      </c>
      <c r="E73" s="7" t="s">
        <v>8</v>
      </c>
      <c r="F73" s="7" t="s">
        <v>2</v>
      </c>
      <c r="G73" s="7">
        <v>9034945</v>
      </c>
      <c r="H73" s="7">
        <v>1246126</v>
      </c>
      <c r="I73" s="13">
        <v>37965.9</v>
      </c>
      <c r="J73" s="7">
        <v>2696</v>
      </c>
      <c r="K73" s="7">
        <v>100</v>
      </c>
      <c r="L73" s="7">
        <v>11</v>
      </c>
      <c r="M73" s="13">
        <v>65791</v>
      </c>
      <c r="N73" s="15">
        <v>7.3289715244469374E-3</v>
      </c>
      <c r="O73" s="16">
        <v>2.1635051351147474E-5</v>
      </c>
      <c r="P73" s="18">
        <v>3.7091988130563794E-4</v>
      </c>
      <c r="Q73" s="16">
        <v>1.1000000000000001E-3</v>
      </c>
      <c r="R73" s="13">
        <f>IF(Marketing!$L73=0, 0, Marketing!$M73/Marketing!$L73)</f>
        <v>5981</v>
      </c>
      <c r="S73" s="13">
        <f>IF(Marketing!$J73=0,0,Marketing!$I73/Marketing!$J73)</f>
        <v>14.082307121661721</v>
      </c>
      <c r="T73" s="13">
        <f>IF(Marketing!$K73=0,0,Marketing!$I73/Marketing!$K73)</f>
        <v>379.65899999999999</v>
      </c>
      <c r="U73" s="13">
        <f>Marketing!$M73 - Marketing!$I73</f>
        <v>27825.1</v>
      </c>
      <c r="V73" s="13">
        <f>IF(Marketing!$L73=0,0,Marketing!$I73/Marketing!$L73)</f>
        <v>3451.4454545454546</v>
      </c>
      <c r="W73" s="7" t="str">
        <f>IF(ISNUMBER(SEARCH("tier1",Marketing!$E73)),"Tier 1","Tier 2")</f>
        <v>Tier 1</v>
      </c>
      <c r="X73" s="7" t="str">
        <f t="shared" si="1"/>
        <v>Tier 1</v>
      </c>
      <c r="Y73" s="7" t="str">
        <f>IF(WEEKDAY(Marketing!$D73,2)&lt;6,"Weekday","Weekend")</f>
        <v>Weekend</v>
      </c>
    </row>
    <row r="74" spans="1:25" x14ac:dyDescent="0.35">
      <c r="A74" s="5">
        <v>73</v>
      </c>
      <c r="B74" s="5" t="str">
        <f>TEXT(Marketing!$D74,"MMMM")</f>
        <v>February</v>
      </c>
      <c r="C74" s="5" t="str">
        <f>TEXT(Marketing!$D74,"DDDD")</f>
        <v>Sunday</v>
      </c>
      <c r="D74" s="6">
        <v>44234</v>
      </c>
      <c r="E74" s="5" t="s">
        <v>9</v>
      </c>
      <c r="F74" s="5" t="s">
        <v>2</v>
      </c>
      <c r="G74" s="5">
        <v>983498</v>
      </c>
      <c r="H74" s="5">
        <v>567096</v>
      </c>
      <c r="I74" s="12">
        <v>6747.94</v>
      </c>
      <c r="J74" s="5">
        <v>5103</v>
      </c>
      <c r="K74" s="5">
        <v>199</v>
      </c>
      <c r="L74" s="5">
        <v>2</v>
      </c>
      <c r="M74" s="12">
        <v>3962</v>
      </c>
      <c r="N74" s="14">
        <v>-4.1285784995124435E-3</v>
      </c>
      <c r="O74" s="16">
        <v>8.9984764484320125E-5</v>
      </c>
      <c r="P74" s="18">
        <v>3.8996668626298253E-4</v>
      </c>
      <c r="Q74" s="16">
        <v>1.0050251256281407E-4</v>
      </c>
      <c r="R74" s="12">
        <f>IF(Marketing!$L74=0, 0, Marketing!$M74/Marketing!$L74)</f>
        <v>1981</v>
      </c>
      <c r="S74" s="12">
        <f>IF(Marketing!$J74=0,0,Marketing!$I74/Marketing!$J74)</f>
        <v>1.3223476386439348</v>
      </c>
      <c r="T74" s="12">
        <f>IF(Marketing!$K74=0,0,Marketing!$I74/Marketing!$K74)</f>
        <v>33.909246231155777</v>
      </c>
      <c r="U74" s="12">
        <f>Marketing!$M74 - Marketing!$I74</f>
        <v>-2785.9399999999996</v>
      </c>
      <c r="V74" s="12">
        <f>IF(Marketing!$L74=0,0,Marketing!$I74/Marketing!$L74)</f>
        <v>3373.97</v>
      </c>
      <c r="W74" s="5" t="str">
        <f>IF(ISNUMBER(SEARCH("tier1",Marketing!$E74)),"Tier 1","Tier 2")</f>
        <v>Tier 2</v>
      </c>
      <c r="X74" s="5" t="str">
        <f t="shared" si="1"/>
        <v>Tier 2</v>
      </c>
      <c r="Y74" s="5" t="str">
        <f>IF(WEEKDAY(Marketing!$D74,2)&lt;6,"Weekday","Weekend")</f>
        <v>Weekend</v>
      </c>
    </row>
    <row r="75" spans="1:25" x14ac:dyDescent="0.35">
      <c r="A75" s="7">
        <v>74</v>
      </c>
      <c r="B75" s="7" t="str">
        <f>TEXT(Marketing!$D75,"MMMM")</f>
        <v>February</v>
      </c>
      <c r="C75" s="7" t="str">
        <f>TEXT(Marketing!$D75,"DDDD")</f>
        <v>Sunday</v>
      </c>
      <c r="D75" s="8">
        <v>44234</v>
      </c>
      <c r="E75" s="7" t="s">
        <v>10</v>
      </c>
      <c r="F75" s="7" t="s">
        <v>2</v>
      </c>
      <c r="G75" s="7">
        <v>4387490</v>
      </c>
      <c r="H75" s="7">
        <v>9938</v>
      </c>
      <c r="I75" s="13">
        <v>3435.44</v>
      </c>
      <c r="J75" s="7">
        <v>294</v>
      </c>
      <c r="K75" s="7">
        <v>6</v>
      </c>
      <c r="L75" s="7">
        <v>1</v>
      </c>
      <c r="M75" s="13">
        <v>4981</v>
      </c>
      <c r="N75" s="15">
        <v>4.4988705959062006E-3</v>
      </c>
      <c r="O75" s="16">
        <v>2.9583417186556651E-4</v>
      </c>
      <c r="P75" s="18">
        <v>2.040816326530612E-4</v>
      </c>
      <c r="Q75" s="16">
        <v>1.6666666666666666E-3</v>
      </c>
      <c r="R75" s="13">
        <f>IF(Marketing!$L75=0, 0, Marketing!$M75/Marketing!$L75)</f>
        <v>4981</v>
      </c>
      <c r="S75" s="13">
        <f>IF(Marketing!$J75=0,0,Marketing!$I75/Marketing!$J75)</f>
        <v>11.685170068027212</v>
      </c>
      <c r="T75" s="13">
        <f>IF(Marketing!$K75=0,0,Marketing!$I75/Marketing!$K75)</f>
        <v>572.57333333333338</v>
      </c>
      <c r="U75" s="13">
        <f>Marketing!$M75 - Marketing!$I75</f>
        <v>1545.56</v>
      </c>
      <c r="V75" s="13">
        <f>IF(Marketing!$L75=0,0,Marketing!$I75/Marketing!$L75)</f>
        <v>3435.44</v>
      </c>
      <c r="W75" s="7" t="str">
        <f>IF(ISNUMBER(SEARCH("tier1",Marketing!$E75)),"Tier 1","Tier 2")</f>
        <v>Tier 2</v>
      </c>
      <c r="X75" s="7" t="str">
        <f t="shared" si="1"/>
        <v>Tier 2</v>
      </c>
      <c r="Y75" s="7" t="str">
        <f>IF(WEEKDAY(Marketing!$D75,2)&lt;6,"Weekday","Weekend")</f>
        <v>Weekend</v>
      </c>
    </row>
    <row r="76" spans="1:25" x14ac:dyDescent="0.35">
      <c r="A76" s="5">
        <v>75</v>
      </c>
      <c r="B76" s="5" t="str">
        <f>TEXT(Marketing!$D76,"MMMM")</f>
        <v>February</v>
      </c>
      <c r="C76" s="5" t="str">
        <f>TEXT(Marketing!$D76,"DDDD")</f>
        <v>Sunday</v>
      </c>
      <c r="D76" s="6">
        <v>44234</v>
      </c>
      <c r="E76" s="5" t="s">
        <v>11</v>
      </c>
      <c r="F76" s="5" t="s">
        <v>2</v>
      </c>
      <c r="G76" s="5">
        <v>544756</v>
      </c>
      <c r="H76" s="5">
        <v>174221</v>
      </c>
      <c r="I76" s="12">
        <v>10104.9</v>
      </c>
      <c r="J76" s="5">
        <v>1197</v>
      </c>
      <c r="K76" s="5">
        <v>6</v>
      </c>
      <c r="L76" s="5">
        <v>1</v>
      </c>
      <c r="M76" s="12">
        <v>981</v>
      </c>
      <c r="N76" s="14">
        <v>-9.0291838612950141E-3</v>
      </c>
      <c r="O76" s="16">
        <v>6.8705839135351076E-5</v>
      </c>
      <c r="P76" s="18">
        <v>5.0125313283208015E-5</v>
      </c>
      <c r="Q76" s="16">
        <v>1.6666666666666666E-3</v>
      </c>
      <c r="R76" s="12">
        <f>IF(Marketing!$L76=0, 0, Marketing!$M76/Marketing!$L76)</f>
        <v>981</v>
      </c>
      <c r="S76" s="12">
        <f>IF(Marketing!$J76=0,0,Marketing!$I76/Marketing!$J76)</f>
        <v>8.4418546365914793</v>
      </c>
      <c r="T76" s="12">
        <f>IF(Marketing!$K76=0,0,Marketing!$I76/Marketing!$K76)</f>
        <v>1684.1499999999999</v>
      </c>
      <c r="U76" s="12">
        <f>Marketing!$M76 - Marketing!$I76</f>
        <v>-9123.9</v>
      </c>
      <c r="V76" s="12">
        <f>IF(Marketing!$L76=0,0,Marketing!$I76/Marketing!$L76)</f>
        <v>10104.9</v>
      </c>
      <c r="W76" s="5" t="str">
        <f>IF(ISNUMBER(SEARCH("tier1",Marketing!$E76)),"Tier 1","Tier 2")</f>
        <v>Tier 2</v>
      </c>
      <c r="X76" s="5" t="str">
        <f t="shared" si="1"/>
        <v>Tier 2</v>
      </c>
      <c r="Y76" s="5" t="str">
        <f>IF(WEEKDAY(Marketing!$D76,2)&lt;6,"Weekday","Weekend")</f>
        <v>Weekend</v>
      </c>
    </row>
    <row r="77" spans="1:25" x14ac:dyDescent="0.35">
      <c r="A77" s="7">
        <v>76</v>
      </c>
      <c r="B77" s="7" t="str">
        <f>TEXT(Marketing!$D77,"MMMM")</f>
        <v>February</v>
      </c>
      <c r="C77" s="7" t="str">
        <f>TEXT(Marketing!$D77,"DDDD")</f>
        <v>Sunday</v>
      </c>
      <c r="D77" s="8">
        <v>44234</v>
      </c>
      <c r="E77" s="7" t="s">
        <v>12</v>
      </c>
      <c r="F77" s="7" t="s">
        <v>7</v>
      </c>
      <c r="G77" s="7">
        <v>374754</v>
      </c>
      <c r="H77" s="7">
        <v>300700</v>
      </c>
      <c r="I77" s="13">
        <v>46167.6</v>
      </c>
      <c r="J77" s="7">
        <v>3007</v>
      </c>
      <c r="K77" s="7">
        <v>93</v>
      </c>
      <c r="L77" s="7">
        <v>12</v>
      </c>
      <c r="M77" s="13">
        <v>68076</v>
      </c>
      <c r="N77" s="15">
        <v>4.7454058690510233E-3</v>
      </c>
      <c r="O77" s="16">
        <v>1E-4</v>
      </c>
      <c r="P77" s="18">
        <v>3.0927835051546395E-4</v>
      </c>
      <c r="Q77" s="16">
        <v>1.2903225806451613E-3</v>
      </c>
      <c r="R77" s="13">
        <f>IF(Marketing!$L77=0, 0, Marketing!$M77/Marketing!$L77)</f>
        <v>5673</v>
      </c>
      <c r="S77" s="13">
        <f>IF(Marketing!$J77=0,0,Marketing!$I77/Marketing!$J77)</f>
        <v>15.353375457266377</v>
      </c>
      <c r="T77" s="13">
        <f>IF(Marketing!$K77=0,0,Marketing!$I77/Marketing!$K77)</f>
        <v>496.42580645161291</v>
      </c>
      <c r="U77" s="13">
        <f>Marketing!$M77 - Marketing!$I77</f>
        <v>21908.400000000001</v>
      </c>
      <c r="V77" s="13">
        <f>IF(Marketing!$L77=0,0,Marketing!$I77/Marketing!$L77)</f>
        <v>3847.2999999999997</v>
      </c>
      <c r="W77" s="7" t="str">
        <f>IF(ISNUMBER(SEARCH("tier1",Marketing!$E77)),"Tier 1","Tier 2")</f>
        <v>Tier 2</v>
      </c>
      <c r="X77" s="7" t="str">
        <f t="shared" si="1"/>
        <v>Tier 2</v>
      </c>
      <c r="Y77" s="7" t="str">
        <f>IF(WEEKDAY(Marketing!$D77,2)&lt;6,"Weekday","Weekend")</f>
        <v>Weekend</v>
      </c>
    </row>
    <row r="78" spans="1:25" x14ac:dyDescent="0.35">
      <c r="A78" s="5">
        <v>77</v>
      </c>
      <c r="B78" s="5" t="str">
        <f>TEXT(Marketing!$D78,"MMMM")</f>
        <v>February</v>
      </c>
      <c r="C78" s="5" t="str">
        <f>TEXT(Marketing!$D78,"DDDD")</f>
        <v>Sunday</v>
      </c>
      <c r="D78" s="6">
        <v>44234</v>
      </c>
      <c r="E78" s="5" t="s">
        <v>13</v>
      </c>
      <c r="F78" s="5" t="s">
        <v>14</v>
      </c>
      <c r="G78" s="5">
        <v>39889</v>
      </c>
      <c r="H78" s="5">
        <v>3957603</v>
      </c>
      <c r="I78" s="12">
        <v>79987.7</v>
      </c>
      <c r="J78" s="5">
        <v>4203</v>
      </c>
      <c r="K78" s="5">
        <v>142</v>
      </c>
      <c r="L78" s="5">
        <v>27</v>
      </c>
      <c r="M78" s="12">
        <v>90504</v>
      </c>
      <c r="N78" s="14">
        <v>1.3147396412198377E-3</v>
      </c>
      <c r="O78" s="16">
        <v>1.0620064720993996E-5</v>
      </c>
      <c r="P78" s="18">
        <v>3.3785391387104453E-4</v>
      </c>
      <c r="Q78" s="16">
        <v>1.9014084507042253E-3</v>
      </c>
      <c r="R78" s="12">
        <f>IF(Marketing!$L78=0, 0, Marketing!$M78/Marketing!$L78)</f>
        <v>3352</v>
      </c>
      <c r="S78" s="12">
        <f>IF(Marketing!$J78=0,0,Marketing!$I78/Marketing!$J78)</f>
        <v>19.031096835593623</v>
      </c>
      <c r="T78" s="12">
        <f>IF(Marketing!$K78=0,0,Marketing!$I78/Marketing!$K78)</f>
        <v>563.29366197183094</v>
      </c>
      <c r="U78" s="12">
        <f>Marketing!$M78 - Marketing!$I78</f>
        <v>10516.300000000003</v>
      </c>
      <c r="V78" s="12">
        <f>IF(Marketing!$L78=0,0,Marketing!$I78/Marketing!$L78)</f>
        <v>2962.5074074074073</v>
      </c>
      <c r="W78" s="5" t="str">
        <f>IF(ISNUMBER(SEARCH("tier1",Marketing!$E78)),"Tier 1","Tier 2")</f>
        <v>Tier 2</v>
      </c>
      <c r="X78" s="5" t="str">
        <f t="shared" si="1"/>
        <v>Tier 2</v>
      </c>
      <c r="Y78" s="5" t="str">
        <f>IF(WEEKDAY(Marketing!$D78,2)&lt;6,"Weekday","Weekend")</f>
        <v>Weekend</v>
      </c>
    </row>
    <row r="79" spans="1:25" x14ac:dyDescent="0.35">
      <c r="A79" s="7">
        <v>78</v>
      </c>
      <c r="B79" s="7" t="str">
        <f>TEXT(Marketing!$D79,"MMMM")</f>
        <v>February</v>
      </c>
      <c r="C79" s="7" t="str">
        <f>TEXT(Marketing!$D79,"DDDD")</f>
        <v>Monday</v>
      </c>
      <c r="D79" s="8">
        <v>44235</v>
      </c>
      <c r="E79" s="7" t="s">
        <v>1</v>
      </c>
      <c r="F79" s="7" t="s">
        <v>2</v>
      </c>
      <c r="G79" s="7">
        <v>349043</v>
      </c>
      <c r="H79" s="7">
        <v>479000</v>
      </c>
      <c r="I79" s="13">
        <v>27210.400000000001</v>
      </c>
      <c r="J79" s="7">
        <v>2395</v>
      </c>
      <c r="K79" s="7">
        <v>36</v>
      </c>
      <c r="L79" s="7">
        <v>5</v>
      </c>
      <c r="M79" s="13">
        <v>22345</v>
      </c>
      <c r="N79" s="15">
        <v>-1.7880663275806313E-3</v>
      </c>
      <c r="O79" s="16">
        <v>5.0000000000000002E-5</v>
      </c>
      <c r="P79" s="18">
        <v>1.5031315240083507E-4</v>
      </c>
      <c r="Q79" s="16">
        <v>1.3888888888888889E-3</v>
      </c>
      <c r="R79" s="13">
        <f>IF(Marketing!$L79=0, 0, Marketing!$M79/Marketing!$L79)</f>
        <v>4469</v>
      </c>
      <c r="S79" s="13">
        <f>IF(Marketing!$J79=0,0,Marketing!$I79/Marketing!$J79)</f>
        <v>11.36133611691023</v>
      </c>
      <c r="T79" s="13">
        <f>IF(Marketing!$K79=0,0,Marketing!$I79/Marketing!$K79)</f>
        <v>755.84444444444443</v>
      </c>
      <c r="U79" s="13">
        <f>Marketing!$M79 - Marketing!$I79</f>
        <v>-4865.4000000000015</v>
      </c>
      <c r="V79" s="13">
        <f>IF(Marketing!$L79=0,0,Marketing!$I79/Marketing!$L79)</f>
        <v>5442.08</v>
      </c>
      <c r="W79" s="7" t="str">
        <f>IF(ISNUMBER(SEARCH("tier1",Marketing!$E79)),"Tier 1","Tier 2")</f>
        <v>Tier 1</v>
      </c>
      <c r="X79" s="7" t="str">
        <f t="shared" si="1"/>
        <v>Tier 1</v>
      </c>
      <c r="Y79" s="7" t="str">
        <f>IF(WEEKDAY(Marketing!$D79,2)&lt;6,"Weekday","Weekend")</f>
        <v>Weekday</v>
      </c>
    </row>
    <row r="80" spans="1:25" x14ac:dyDescent="0.35">
      <c r="A80" s="5">
        <v>79</v>
      </c>
      <c r="B80" s="5" t="str">
        <f>TEXT(Marketing!$D80,"MMMM")</f>
        <v>February</v>
      </c>
      <c r="C80" s="5" t="str">
        <f>TEXT(Marketing!$D80,"DDDD")</f>
        <v>Monday</v>
      </c>
      <c r="D80" s="6">
        <v>44235</v>
      </c>
      <c r="E80" s="7" t="s">
        <v>67</v>
      </c>
      <c r="F80" s="5" t="s">
        <v>2</v>
      </c>
      <c r="G80" s="5">
        <v>348934</v>
      </c>
      <c r="H80" s="5">
        <v>472656</v>
      </c>
      <c r="I80" s="12">
        <v>33752.800000000003</v>
      </c>
      <c r="J80" s="5">
        <v>3290</v>
      </c>
      <c r="K80" s="5">
        <v>66</v>
      </c>
      <c r="L80" s="5">
        <v>5</v>
      </c>
      <c r="M80" s="12">
        <v>28670</v>
      </c>
      <c r="N80" s="14">
        <v>-1.5058898817283315E-3</v>
      </c>
      <c r="O80" s="16">
        <v>6.9606648386987571E-5</v>
      </c>
      <c r="P80" s="18">
        <v>2.0060790273556233E-4</v>
      </c>
      <c r="Q80" s="16">
        <v>7.5757575757575758E-4</v>
      </c>
      <c r="R80" s="12">
        <f>IF(Marketing!$L80=0, 0, Marketing!$M80/Marketing!$L80)</f>
        <v>5734</v>
      </c>
      <c r="S80" s="12">
        <f>IF(Marketing!$J80=0,0,Marketing!$I80/Marketing!$J80)</f>
        <v>10.259209726443769</v>
      </c>
      <c r="T80" s="12">
        <f>IF(Marketing!$K80=0,0,Marketing!$I80/Marketing!$K80)</f>
        <v>511.40606060606063</v>
      </c>
      <c r="U80" s="12">
        <f>Marketing!$M80 - Marketing!$I80</f>
        <v>-5082.8000000000029</v>
      </c>
      <c r="V80" s="12">
        <f>IF(Marketing!$L80=0,0,Marketing!$I80/Marketing!$L80)</f>
        <v>6750.56</v>
      </c>
      <c r="W80" s="5" t="str">
        <f>IF(ISNUMBER(SEARCH("tier1",Marketing!$E80)),"Tier 1","Tier 2")</f>
        <v>Tier 2</v>
      </c>
      <c r="X80" s="5" t="str">
        <f t="shared" si="1"/>
        <v>Tier 2</v>
      </c>
      <c r="Y80" s="5" t="str">
        <f>IF(WEEKDAY(Marketing!$D80,2)&lt;6,"Weekday","Weekend")</f>
        <v>Weekday</v>
      </c>
    </row>
    <row r="81" spans="1:25" x14ac:dyDescent="0.35">
      <c r="A81" s="7">
        <v>80</v>
      </c>
      <c r="B81" s="7" t="str">
        <f>TEXT(Marketing!$D81,"MMMM")</f>
        <v>February</v>
      </c>
      <c r="C81" s="7" t="str">
        <f>TEXT(Marketing!$D81,"DDDD")</f>
        <v>Monday</v>
      </c>
      <c r="D81" s="8">
        <v>44235</v>
      </c>
      <c r="E81" s="7" t="s">
        <v>3</v>
      </c>
      <c r="F81" s="7" t="s">
        <v>4</v>
      </c>
      <c r="G81" s="7">
        <v>89459845</v>
      </c>
      <c r="H81" s="7">
        <v>51350</v>
      </c>
      <c r="I81" s="13">
        <v>6918.85</v>
      </c>
      <c r="J81" s="7">
        <v>904</v>
      </c>
      <c r="K81" s="7">
        <v>20</v>
      </c>
      <c r="L81" s="7">
        <v>2</v>
      </c>
      <c r="M81" s="13">
        <v>16240</v>
      </c>
      <c r="N81" s="15">
        <v>1.3472108804208792E-2</v>
      </c>
      <c r="O81" s="16">
        <v>1.7604673807205452E-4</v>
      </c>
      <c r="P81" s="18">
        <v>2.2123893805309734E-4</v>
      </c>
      <c r="Q81" s="16">
        <v>1E-3</v>
      </c>
      <c r="R81" s="13">
        <f>IF(Marketing!$L81=0, 0, Marketing!$M81/Marketing!$L81)</f>
        <v>8120</v>
      </c>
      <c r="S81" s="13">
        <f>IF(Marketing!$J81=0,0,Marketing!$I81/Marketing!$J81)</f>
        <v>7.6535951327433631</v>
      </c>
      <c r="T81" s="13">
        <f>IF(Marketing!$K81=0,0,Marketing!$I81/Marketing!$K81)</f>
        <v>345.9425</v>
      </c>
      <c r="U81" s="13">
        <f>Marketing!$M81 - Marketing!$I81</f>
        <v>9321.15</v>
      </c>
      <c r="V81" s="13">
        <f>IF(Marketing!$L81=0,0,Marketing!$I81/Marketing!$L81)</f>
        <v>3459.4250000000002</v>
      </c>
      <c r="W81" s="7" t="str">
        <f>IF(ISNUMBER(SEARCH("tier1",Marketing!$E81)),"Tier 1","Tier 2")</f>
        <v>Tier 2</v>
      </c>
      <c r="X81" s="7" t="str">
        <f t="shared" si="1"/>
        <v>Tier 2</v>
      </c>
      <c r="Y81" s="7" t="str">
        <f>IF(WEEKDAY(Marketing!$D81,2)&lt;6,"Weekday","Weekend")</f>
        <v>Weekday</v>
      </c>
    </row>
    <row r="82" spans="1:25" x14ac:dyDescent="0.35">
      <c r="A82" s="5">
        <v>81</v>
      </c>
      <c r="B82" s="5" t="str">
        <f>TEXT(Marketing!$D82,"MMMM")</f>
        <v>February</v>
      </c>
      <c r="C82" s="5" t="str">
        <f>TEXT(Marketing!$D82,"DDDD")</f>
        <v>Monday</v>
      </c>
      <c r="D82" s="6">
        <v>44235</v>
      </c>
      <c r="E82" s="5" t="s">
        <v>5</v>
      </c>
      <c r="F82" s="5" t="s">
        <v>4</v>
      </c>
      <c r="G82" s="5">
        <v>127823</v>
      </c>
      <c r="H82" s="5">
        <v>478000</v>
      </c>
      <c r="I82" s="12">
        <v>16567.5</v>
      </c>
      <c r="J82" s="5">
        <v>2390</v>
      </c>
      <c r="K82" s="5">
        <v>48</v>
      </c>
      <c r="L82" s="5">
        <v>5</v>
      </c>
      <c r="M82" s="12">
        <v>16995</v>
      </c>
      <c r="N82" s="14">
        <v>2.5803531009506561E-4</v>
      </c>
      <c r="O82" s="16">
        <v>5.0000000000000002E-5</v>
      </c>
      <c r="P82" s="18">
        <v>2.0083682008368201E-4</v>
      </c>
      <c r="Q82" s="16">
        <v>1.0416666666666667E-3</v>
      </c>
      <c r="R82" s="12">
        <f>IF(Marketing!$L82=0, 0, Marketing!$M82/Marketing!$L82)</f>
        <v>3399</v>
      </c>
      <c r="S82" s="12">
        <f>IF(Marketing!$J82=0,0,Marketing!$I82/Marketing!$J82)</f>
        <v>6.9320083682008367</v>
      </c>
      <c r="T82" s="12">
        <f>IF(Marketing!$K82=0,0,Marketing!$I82/Marketing!$K82)</f>
        <v>345.15625</v>
      </c>
      <c r="U82" s="12">
        <f>Marketing!$M82 - Marketing!$I82</f>
        <v>427.5</v>
      </c>
      <c r="V82" s="12">
        <f>IF(Marketing!$L82=0,0,Marketing!$I82/Marketing!$L82)</f>
        <v>3313.5</v>
      </c>
      <c r="W82" s="5" t="str">
        <f>IF(ISNUMBER(SEARCH("tier1",Marketing!$E82)),"Tier 1","Tier 2")</f>
        <v>Tier 2</v>
      </c>
      <c r="X82" s="5" t="str">
        <f t="shared" si="1"/>
        <v>Tier 2</v>
      </c>
      <c r="Y82" s="5" t="str">
        <f>IF(WEEKDAY(Marketing!$D82,2)&lt;6,"Weekday","Weekend")</f>
        <v>Weekday</v>
      </c>
    </row>
    <row r="83" spans="1:25" x14ac:dyDescent="0.35">
      <c r="A83" s="7">
        <v>82</v>
      </c>
      <c r="B83" s="7" t="str">
        <f>TEXT(Marketing!$D83,"MMMM")</f>
        <v>February</v>
      </c>
      <c r="C83" s="7" t="str">
        <f>TEXT(Marketing!$D83,"DDDD")</f>
        <v>Monday</v>
      </c>
      <c r="D83" s="8">
        <v>44235</v>
      </c>
      <c r="E83" s="7" t="s">
        <v>6</v>
      </c>
      <c r="F83" s="7" t="s">
        <v>7</v>
      </c>
      <c r="G83" s="7">
        <v>10934</v>
      </c>
      <c r="H83" s="7">
        <v>685530</v>
      </c>
      <c r="I83" s="13">
        <v>33892.6</v>
      </c>
      <c r="J83" s="7">
        <v>4491</v>
      </c>
      <c r="K83" s="7">
        <v>79</v>
      </c>
      <c r="L83" s="7">
        <v>16</v>
      </c>
      <c r="M83" s="13">
        <v>120176</v>
      </c>
      <c r="N83" s="15">
        <v>2.5457887562476765E-2</v>
      </c>
      <c r="O83" s="16">
        <v>6.5511356176972563E-5</v>
      </c>
      <c r="P83" s="18">
        <v>1.7590737029614785E-4</v>
      </c>
      <c r="Q83" s="16">
        <v>2.0253164556962027E-3</v>
      </c>
      <c r="R83" s="13">
        <f>IF(Marketing!$L83=0, 0, Marketing!$M83/Marketing!$L83)</f>
        <v>7511</v>
      </c>
      <c r="S83" s="13">
        <f>IF(Marketing!$J83=0,0,Marketing!$I83/Marketing!$J83)</f>
        <v>7.5467824537964816</v>
      </c>
      <c r="T83" s="13">
        <f>IF(Marketing!$K83=0,0,Marketing!$I83/Marketing!$K83)</f>
        <v>429.02025316455695</v>
      </c>
      <c r="U83" s="13">
        <f>Marketing!$M83 - Marketing!$I83</f>
        <v>86283.4</v>
      </c>
      <c r="V83" s="13">
        <f>IF(Marketing!$L83=0,0,Marketing!$I83/Marketing!$L83)</f>
        <v>2118.2874999999999</v>
      </c>
      <c r="W83" s="7" t="str">
        <f>IF(ISNUMBER(SEARCH("tier1",Marketing!$E83)),"Tier 1","Tier 2")</f>
        <v>Tier 2</v>
      </c>
      <c r="X83" s="7" t="str">
        <f t="shared" si="1"/>
        <v>Tier 2</v>
      </c>
      <c r="Y83" s="7" t="str">
        <f>IF(WEEKDAY(Marketing!$D83,2)&lt;6,"Weekday","Weekend")</f>
        <v>Weekday</v>
      </c>
    </row>
    <row r="84" spans="1:25" x14ac:dyDescent="0.35">
      <c r="A84" s="5">
        <v>83</v>
      </c>
      <c r="B84" s="5" t="str">
        <f>TEXT(Marketing!$D84,"MMMM")</f>
        <v>February</v>
      </c>
      <c r="C84" s="5" t="str">
        <f>TEXT(Marketing!$D84,"DDDD")</f>
        <v>Monday</v>
      </c>
      <c r="D84" s="6">
        <v>44235</v>
      </c>
      <c r="E84" s="5" t="s">
        <v>8</v>
      </c>
      <c r="F84" s="5" t="s">
        <v>2</v>
      </c>
      <c r="G84" s="5">
        <v>9034945</v>
      </c>
      <c r="H84" s="5">
        <v>472836</v>
      </c>
      <c r="I84" s="12">
        <v>330.76</v>
      </c>
      <c r="J84" s="5">
        <v>2690</v>
      </c>
      <c r="K84" s="5">
        <v>1</v>
      </c>
      <c r="L84" s="5">
        <v>0</v>
      </c>
      <c r="M84" s="12">
        <v>0</v>
      </c>
      <c r="N84" s="14">
        <v>-0.01</v>
      </c>
      <c r="O84" s="16">
        <v>5.6890761278752039E-5</v>
      </c>
      <c r="P84" s="18">
        <v>3.7174721189591075E-6</v>
      </c>
      <c r="Q84" s="16">
        <v>0</v>
      </c>
      <c r="R84" s="12">
        <f>IF(Marketing!$L84=0, 0, Marketing!$M84/Marketing!$L84)</f>
        <v>0</v>
      </c>
      <c r="S84" s="12">
        <f>IF(Marketing!$J84=0,0,Marketing!$I84/Marketing!$J84)</f>
        <v>0.12295910780669145</v>
      </c>
      <c r="T84" s="12">
        <f>IF(Marketing!$K84=0,0,Marketing!$I84/Marketing!$K84)</f>
        <v>330.76</v>
      </c>
      <c r="U84" s="12">
        <f>Marketing!$M84 - Marketing!$I84</f>
        <v>-330.76</v>
      </c>
      <c r="V84" s="12">
        <f>IF(Marketing!$L84=0,0,Marketing!$I84/Marketing!$L84)</f>
        <v>0</v>
      </c>
      <c r="W84" s="5" t="str">
        <f>IF(ISNUMBER(SEARCH("tier1",Marketing!$E84)),"Tier 1","Tier 2")</f>
        <v>Tier 1</v>
      </c>
      <c r="X84" s="5" t="str">
        <f t="shared" si="1"/>
        <v>Tier 1</v>
      </c>
      <c r="Y84" s="5" t="str">
        <f>IF(WEEKDAY(Marketing!$D84,2)&lt;6,"Weekday","Weekend")</f>
        <v>Weekday</v>
      </c>
    </row>
    <row r="85" spans="1:25" x14ac:dyDescent="0.35">
      <c r="A85" s="7">
        <v>84</v>
      </c>
      <c r="B85" s="7" t="str">
        <f>TEXT(Marketing!$D85,"MMMM")</f>
        <v>February</v>
      </c>
      <c r="C85" s="7" t="str">
        <f>TEXT(Marketing!$D85,"DDDD")</f>
        <v>Monday</v>
      </c>
      <c r="D85" s="8">
        <v>44235</v>
      </c>
      <c r="E85" s="7" t="s">
        <v>9</v>
      </c>
      <c r="F85" s="7" t="s">
        <v>2</v>
      </c>
      <c r="G85" s="7">
        <v>983498</v>
      </c>
      <c r="H85" s="7">
        <v>1020000</v>
      </c>
      <c r="I85" s="13">
        <v>2057.3000000000002</v>
      </c>
      <c r="J85" s="7">
        <v>5100</v>
      </c>
      <c r="K85" s="7">
        <v>102</v>
      </c>
      <c r="L85" s="7">
        <v>1</v>
      </c>
      <c r="M85" s="13">
        <v>1981</v>
      </c>
      <c r="N85" s="15">
        <v>-3.7087444709084811E-4</v>
      </c>
      <c r="O85" s="16">
        <v>5.0000000000000002E-5</v>
      </c>
      <c r="P85" s="18">
        <v>2.0000000000000001E-4</v>
      </c>
      <c r="Q85" s="16">
        <v>9.8039215686274506E-5</v>
      </c>
      <c r="R85" s="13">
        <f>IF(Marketing!$L85=0, 0, Marketing!$M85/Marketing!$L85)</f>
        <v>1981</v>
      </c>
      <c r="S85" s="13">
        <f>IF(Marketing!$J85=0,0,Marketing!$I85/Marketing!$J85)</f>
        <v>0.40339215686274515</v>
      </c>
      <c r="T85" s="13">
        <f>IF(Marketing!$K85=0,0,Marketing!$I85/Marketing!$K85)</f>
        <v>20.169607843137257</v>
      </c>
      <c r="U85" s="13">
        <f>Marketing!$M85 - Marketing!$I85</f>
        <v>-76.300000000000182</v>
      </c>
      <c r="V85" s="13">
        <f>IF(Marketing!$L85=0,0,Marketing!$I85/Marketing!$L85)</f>
        <v>2057.3000000000002</v>
      </c>
      <c r="W85" s="7" t="str">
        <f>IF(ISNUMBER(SEARCH("tier1",Marketing!$E85)),"Tier 1","Tier 2")</f>
        <v>Tier 2</v>
      </c>
      <c r="X85" s="7" t="str">
        <f t="shared" si="1"/>
        <v>Tier 2</v>
      </c>
      <c r="Y85" s="7" t="str">
        <f>IF(WEEKDAY(Marketing!$D85,2)&lt;6,"Weekday","Weekend")</f>
        <v>Weekday</v>
      </c>
    </row>
    <row r="86" spans="1:25" x14ac:dyDescent="0.35">
      <c r="A86" s="5">
        <v>85</v>
      </c>
      <c r="B86" s="5" t="str">
        <f>TEXT(Marketing!$D86,"MMMM")</f>
        <v>February</v>
      </c>
      <c r="C86" s="5" t="str">
        <f>TEXT(Marketing!$D86,"DDDD")</f>
        <v>Monday</v>
      </c>
      <c r="D86" s="6">
        <v>44235</v>
      </c>
      <c r="E86" s="5" t="s">
        <v>10</v>
      </c>
      <c r="F86" s="5" t="s">
        <v>2</v>
      </c>
      <c r="G86" s="5">
        <v>4387490</v>
      </c>
      <c r="H86" s="5">
        <v>10067</v>
      </c>
      <c r="I86" s="12">
        <v>4336.04</v>
      </c>
      <c r="J86" s="5">
        <v>302</v>
      </c>
      <c r="K86" s="5">
        <v>10</v>
      </c>
      <c r="L86" s="5">
        <v>2</v>
      </c>
      <c r="M86" s="12">
        <v>10036</v>
      </c>
      <c r="N86" s="14">
        <v>1.3145542937795778E-2</v>
      </c>
      <c r="O86" s="16">
        <v>2.9999006655408758E-4</v>
      </c>
      <c r="P86" s="18">
        <v>3.3112582781456954E-4</v>
      </c>
      <c r="Q86" s="16">
        <v>2E-3</v>
      </c>
      <c r="R86" s="12">
        <f>IF(Marketing!$L86=0, 0, Marketing!$M86/Marketing!$L86)</f>
        <v>5018</v>
      </c>
      <c r="S86" s="12">
        <f>IF(Marketing!$J86=0,0,Marketing!$I86/Marketing!$J86)</f>
        <v>14.357748344370862</v>
      </c>
      <c r="T86" s="12">
        <f>IF(Marketing!$K86=0,0,Marketing!$I86/Marketing!$K86)</f>
        <v>433.60399999999998</v>
      </c>
      <c r="U86" s="12">
        <f>Marketing!$M86 - Marketing!$I86</f>
        <v>5699.96</v>
      </c>
      <c r="V86" s="12">
        <f>IF(Marketing!$L86=0,0,Marketing!$I86/Marketing!$L86)</f>
        <v>2168.02</v>
      </c>
      <c r="W86" s="5" t="str">
        <f>IF(ISNUMBER(SEARCH("tier1",Marketing!$E86)),"Tier 1","Tier 2")</f>
        <v>Tier 2</v>
      </c>
      <c r="X86" s="5" t="str">
        <f t="shared" si="1"/>
        <v>Tier 2</v>
      </c>
      <c r="Y86" s="5" t="str">
        <f>IF(WEEKDAY(Marketing!$D86,2)&lt;6,"Weekday","Weekend")</f>
        <v>Weekday</v>
      </c>
    </row>
    <row r="87" spans="1:25" x14ac:dyDescent="0.35">
      <c r="A87" s="7">
        <v>86</v>
      </c>
      <c r="B87" s="7" t="str">
        <f>TEXT(Marketing!$D87,"MMMM")</f>
        <v>February</v>
      </c>
      <c r="C87" s="7" t="str">
        <f>TEXT(Marketing!$D87,"DDDD")</f>
        <v>Monday</v>
      </c>
      <c r="D87" s="8">
        <v>44235</v>
      </c>
      <c r="E87" s="7" t="s">
        <v>11</v>
      </c>
      <c r="F87" s="7" t="s">
        <v>2</v>
      </c>
      <c r="G87" s="7">
        <v>544756</v>
      </c>
      <c r="H87" s="7">
        <v>120200</v>
      </c>
      <c r="I87" s="13">
        <v>40099</v>
      </c>
      <c r="J87" s="7">
        <v>1202</v>
      </c>
      <c r="K87" s="7">
        <v>24</v>
      </c>
      <c r="L87" s="7">
        <v>5</v>
      </c>
      <c r="M87" s="13">
        <v>4905</v>
      </c>
      <c r="N87" s="15">
        <v>-8.7767774757475242E-3</v>
      </c>
      <c r="O87" s="16">
        <v>1E-4</v>
      </c>
      <c r="P87" s="18">
        <v>1.9966722129783693E-4</v>
      </c>
      <c r="Q87" s="16">
        <v>2.0833333333333333E-3</v>
      </c>
      <c r="R87" s="13">
        <f>IF(Marketing!$L87=0, 0, Marketing!$M87/Marketing!$L87)</f>
        <v>981</v>
      </c>
      <c r="S87" s="13">
        <f>IF(Marketing!$J87=0,0,Marketing!$I87/Marketing!$J87)</f>
        <v>33.360232945091511</v>
      </c>
      <c r="T87" s="13">
        <f>IF(Marketing!$K87=0,0,Marketing!$I87/Marketing!$K87)</f>
        <v>1670.7916666666667</v>
      </c>
      <c r="U87" s="13">
        <f>Marketing!$M87 - Marketing!$I87</f>
        <v>-35194</v>
      </c>
      <c r="V87" s="13">
        <f>IF(Marketing!$L87=0,0,Marketing!$I87/Marketing!$L87)</f>
        <v>8019.8</v>
      </c>
      <c r="W87" s="7" t="str">
        <f>IF(ISNUMBER(SEARCH("tier1",Marketing!$E87)),"Tier 1","Tier 2")</f>
        <v>Tier 2</v>
      </c>
      <c r="X87" s="7" t="str">
        <f t="shared" si="1"/>
        <v>Tier 2</v>
      </c>
      <c r="Y87" s="7" t="str">
        <f>IF(WEEKDAY(Marketing!$D87,2)&lt;6,"Weekday","Weekend")</f>
        <v>Weekday</v>
      </c>
    </row>
    <row r="88" spans="1:25" x14ac:dyDescent="0.35">
      <c r="A88" s="5">
        <v>87</v>
      </c>
      <c r="B88" s="5" t="str">
        <f>TEXT(Marketing!$D88,"MMMM")</f>
        <v>February</v>
      </c>
      <c r="C88" s="5" t="str">
        <f>TEXT(Marketing!$D88,"DDDD")</f>
        <v>Monday</v>
      </c>
      <c r="D88" s="6">
        <v>44235</v>
      </c>
      <c r="E88" s="5" t="s">
        <v>12</v>
      </c>
      <c r="F88" s="5" t="s">
        <v>7</v>
      </c>
      <c r="G88" s="5">
        <v>374754</v>
      </c>
      <c r="H88" s="5">
        <v>361650</v>
      </c>
      <c r="I88" s="12">
        <v>31154.3</v>
      </c>
      <c r="J88" s="5">
        <v>2991</v>
      </c>
      <c r="K88" s="5">
        <v>60</v>
      </c>
      <c r="L88" s="5">
        <v>9</v>
      </c>
      <c r="M88" s="12">
        <v>45027</v>
      </c>
      <c r="N88" s="14">
        <v>4.4529005626831614E-3</v>
      </c>
      <c r="O88" s="16">
        <v>8.2704272086271265E-5</v>
      </c>
      <c r="P88" s="18">
        <v>2.0060180541624874E-4</v>
      </c>
      <c r="Q88" s="16">
        <v>1.5E-3</v>
      </c>
      <c r="R88" s="12">
        <f>IF(Marketing!$L88=0, 0, Marketing!$M88/Marketing!$L88)</f>
        <v>5003</v>
      </c>
      <c r="S88" s="12">
        <f>IF(Marketing!$J88=0,0,Marketing!$I88/Marketing!$J88)</f>
        <v>10.416014710799063</v>
      </c>
      <c r="T88" s="12">
        <f>IF(Marketing!$K88=0,0,Marketing!$I88/Marketing!$K88)</f>
        <v>519.23833333333334</v>
      </c>
      <c r="U88" s="12">
        <f>Marketing!$M88 - Marketing!$I88</f>
        <v>13872.7</v>
      </c>
      <c r="V88" s="12">
        <f>IF(Marketing!$L88=0,0,Marketing!$I88/Marketing!$L88)</f>
        <v>3461.588888888889</v>
      </c>
      <c r="W88" s="5" t="str">
        <f>IF(ISNUMBER(SEARCH("tier1",Marketing!$E88)),"Tier 1","Tier 2")</f>
        <v>Tier 2</v>
      </c>
      <c r="X88" s="5" t="str">
        <f t="shared" si="1"/>
        <v>Tier 2</v>
      </c>
      <c r="Y88" s="5" t="str">
        <f>IF(WEEKDAY(Marketing!$D88,2)&lt;6,"Weekday","Weekend")</f>
        <v>Weekday</v>
      </c>
    </row>
    <row r="89" spans="1:25" x14ac:dyDescent="0.35">
      <c r="A89" s="7">
        <v>88</v>
      </c>
      <c r="B89" s="7" t="str">
        <f>TEXT(Marketing!$D89,"MMMM")</f>
        <v>February</v>
      </c>
      <c r="C89" s="7" t="str">
        <f>TEXT(Marketing!$D89,"DDDD")</f>
        <v>Monday</v>
      </c>
      <c r="D89" s="8">
        <v>44235</v>
      </c>
      <c r="E89" s="7" t="s">
        <v>13</v>
      </c>
      <c r="F89" s="7" t="s">
        <v>14</v>
      </c>
      <c r="G89" s="7">
        <v>39889</v>
      </c>
      <c r="H89" s="7">
        <v>2233790</v>
      </c>
      <c r="I89" s="13">
        <v>31883.9</v>
      </c>
      <c r="J89" s="7">
        <v>4197</v>
      </c>
      <c r="K89" s="7">
        <v>84</v>
      </c>
      <c r="L89" s="7">
        <v>10</v>
      </c>
      <c r="M89" s="13">
        <v>42280</v>
      </c>
      <c r="N89" s="15">
        <v>3.2606111548461759E-3</v>
      </c>
      <c r="O89" s="16">
        <v>1.8788695445856593E-5</v>
      </c>
      <c r="P89" s="18">
        <v>2.0014295925661188E-4</v>
      </c>
      <c r="Q89" s="16">
        <v>1.1904761904761904E-3</v>
      </c>
      <c r="R89" s="13">
        <f>IF(Marketing!$L89=0, 0, Marketing!$M89/Marketing!$L89)</f>
        <v>4228</v>
      </c>
      <c r="S89" s="13">
        <f>IF(Marketing!$J89=0,0,Marketing!$I89/Marketing!$J89)</f>
        <v>7.5968310698117705</v>
      </c>
      <c r="T89" s="13">
        <f>IF(Marketing!$K89=0,0,Marketing!$I89/Marketing!$K89)</f>
        <v>379.5702380952381</v>
      </c>
      <c r="U89" s="13">
        <f>Marketing!$M89 - Marketing!$I89</f>
        <v>10396.099999999999</v>
      </c>
      <c r="V89" s="13">
        <f>IF(Marketing!$L89=0,0,Marketing!$I89/Marketing!$L89)</f>
        <v>3188.3900000000003</v>
      </c>
      <c r="W89" s="7" t="str">
        <f>IF(ISNUMBER(SEARCH("tier1",Marketing!$E89)),"Tier 1","Tier 2")</f>
        <v>Tier 2</v>
      </c>
      <c r="X89" s="7" t="str">
        <f t="shared" si="1"/>
        <v>Tier 2</v>
      </c>
      <c r="Y89" s="7" t="str">
        <f>IF(WEEKDAY(Marketing!$D89,2)&lt;6,"Weekday","Weekend")</f>
        <v>Weekday</v>
      </c>
    </row>
    <row r="90" spans="1:25" x14ac:dyDescent="0.35">
      <c r="A90" s="5">
        <v>89</v>
      </c>
      <c r="B90" s="5" t="str">
        <f>TEXT(Marketing!$D90,"MMMM")</f>
        <v>February</v>
      </c>
      <c r="C90" s="5" t="str">
        <f>TEXT(Marketing!$D90,"DDDD")</f>
        <v>Tuesday</v>
      </c>
      <c r="D90" s="6">
        <v>44236</v>
      </c>
      <c r="E90" s="5" t="s">
        <v>1</v>
      </c>
      <c r="F90" s="5" t="s">
        <v>2</v>
      </c>
      <c r="G90" s="5">
        <v>349043</v>
      </c>
      <c r="H90" s="5">
        <v>478600</v>
      </c>
      <c r="I90" s="12">
        <v>49036.5</v>
      </c>
      <c r="J90" s="5">
        <v>2393</v>
      </c>
      <c r="K90" s="5">
        <v>68</v>
      </c>
      <c r="L90" s="5">
        <v>9</v>
      </c>
      <c r="M90" s="12">
        <v>42813</v>
      </c>
      <c r="N90" s="14">
        <v>-1.269156648618886E-3</v>
      </c>
      <c r="O90" s="16">
        <v>5.0000000000000002E-5</v>
      </c>
      <c r="P90" s="18">
        <v>2.8416213957375676E-4</v>
      </c>
      <c r="Q90" s="16">
        <v>1.3235294117647058E-3</v>
      </c>
      <c r="R90" s="12">
        <f>IF(Marketing!$L90=0, 0, Marketing!$M90/Marketing!$L90)</f>
        <v>4757</v>
      </c>
      <c r="S90" s="12">
        <f>IF(Marketing!$J90=0,0,Marketing!$I90/Marketing!$J90)</f>
        <v>20.491642290012535</v>
      </c>
      <c r="T90" s="12">
        <f>IF(Marketing!$K90=0,0,Marketing!$I90/Marketing!$K90)</f>
        <v>721.125</v>
      </c>
      <c r="U90" s="12">
        <f>Marketing!$M90 - Marketing!$I90</f>
        <v>-6223.5</v>
      </c>
      <c r="V90" s="12">
        <f>IF(Marketing!$L90=0,0,Marketing!$I90/Marketing!$L90)</f>
        <v>5448.5</v>
      </c>
      <c r="W90" s="5" t="str">
        <f>IF(ISNUMBER(SEARCH("tier1",Marketing!$E90)),"Tier 1","Tier 2")</f>
        <v>Tier 1</v>
      </c>
      <c r="X90" s="5" t="str">
        <f t="shared" si="1"/>
        <v>Tier 1</v>
      </c>
      <c r="Y90" s="5" t="str">
        <f>IF(WEEKDAY(Marketing!$D90,2)&lt;6,"Weekday","Weekend")</f>
        <v>Weekday</v>
      </c>
    </row>
    <row r="91" spans="1:25" x14ac:dyDescent="0.35">
      <c r="A91" s="7">
        <v>90</v>
      </c>
      <c r="B91" s="7" t="str">
        <f>TEXT(Marketing!$D91,"MMMM")</f>
        <v>February</v>
      </c>
      <c r="C91" s="7" t="str">
        <f>TEXT(Marketing!$D91,"DDDD")</f>
        <v>Tuesday</v>
      </c>
      <c r="D91" s="8">
        <v>44236</v>
      </c>
      <c r="E91" s="7" t="s">
        <v>67</v>
      </c>
      <c r="F91" s="7" t="s">
        <v>2</v>
      </c>
      <c r="G91" s="7">
        <v>348934</v>
      </c>
      <c r="H91" s="7">
        <v>555116</v>
      </c>
      <c r="I91" s="13">
        <v>62119.4</v>
      </c>
      <c r="J91" s="7">
        <v>3303</v>
      </c>
      <c r="K91" s="7">
        <v>96</v>
      </c>
      <c r="L91" s="7">
        <v>11</v>
      </c>
      <c r="M91" s="13">
        <v>54791</v>
      </c>
      <c r="N91" s="15">
        <v>-1.1797280720676634E-3</v>
      </c>
      <c r="O91" s="16">
        <v>5.9501077252322037E-5</v>
      </c>
      <c r="P91" s="18">
        <v>2.9064486830154406E-4</v>
      </c>
      <c r="Q91" s="16">
        <v>1.1458333333333333E-3</v>
      </c>
      <c r="R91" s="13">
        <f>IF(Marketing!$L91=0, 0, Marketing!$M91/Marketing!$L91)</f>
        <v>4981</v>
      </c>
      <c r="S91" s="13">
        <f>IF(Marketing!$J91=0,0,Marketing!$I91/Marketing!$J91)</f>
        <v>18.806963366636392</v>
      </c>
      <c r="T91" s="13">
        <f>IF(Marketing!$K91=0,0,Marketing!$I91/Marketing!$K91)</f>
        <v>647.07708333333335</v>
      </c>
      <c r="U91" s="13">
        <f>Marketing!$M91 - Marketing!$I91</f>
        <v>-7328.4000000000015</v>
      </c>
      <c r="V91" s="13">
        <f>IF(Marketing!$L91=0,0,Marketing!$I91/Marketing!$L91)</f>
        <v>5647.2181818181816</v>
      </c>
      <c r="W91" s="7" t="str">
        <f>IF(ISNUMBER(SEARCH("tier1",Marketing!$E91)),"Tier 1","Tier 2")</f>
        <v>Tier 2</v>
      </c>
      <c r="X91" s="7" t="str">
        <f t="shared" si="1"/>
        <v>Tier 2</v>
      </c>
      <c r="Y91" s="7" t="str">
        <f>IF(WEEKDAY(Marketing!$D91,2)&lt;6,"Weekday","Weekend")</f>
        <v>Weekday</v>
      </c>
    </row>
    <row r="92" spans="1:25" x14ac:dyDescent="0.35">
      <c r="A92" s="5">
        <v>91</v>
      </c>
      <c r="B92" s="5" t="str">
        <f>TEXT(Marketing!$D92,"MMMM")</f>
        <v>February</v>
      </c>
      <c r="C92" s="5" t="str">
        <f>TEXT(Marketing!$D92,"DDDD")</f>
        <v>Tuesday</v>
      </c>
      <c r="D92" s="6">
        <v>44236</v>
      </c>
      <c r="E92" s="5" t="s">
        <v>3</v>
      </c>
      <c r="F92" s="5" t="s">
        <v>4</v>
      </c>
      <c r="G92" s="5">
        <v>89459845</v>
      </c>
      <c r="H92" s="5">
        <v>44900</v>
      </c>
      <c r="I92" s="12">
        <v>3095.21</v>
      </c>
      <c r="J92" s="5">
        <v>898</v>
      </c>
      <c r="K92" s="5">
        <v>5</v>
      </c>
      <c r="L92" s="5">
        <v>1</v>
      </c>
      <c r="M92" s="12">
        <v>7998</v>
      </c>
      <c r="N92" s="14">
        <v>1.583992685472068E-2</v>
      </c>
      <c r="O92" s="16">
        <v>2.0000000000000001E-4</v>
      </c>
      <c r="P92" s="18">
        <v>5.5679287305122496E-5</v>
      </c>
      <c r="Q92" s="16">
        <v>2E-3</v>
      </c>
      <c r="R92" s="12">
        <f>IF(Marketing!$L92=0, 0, Marketing!$M92/Marketing!$L92)</f>
        <v>7998</v>
      </c>
      <c r="S92" s="12">
        <f>IF(Marketing!$J92=0,0,Marketing!$I92/Marketing!$J92)</f>
        <v>3.4467817371937639</v>
      </c>
      <c r="T92" s="12">
        <f>IF(Marketing!$K92=0,0,Marketing!$I92/Marketing!$K92)</f>
        <v>619.04200000000003</v>
      </c>
      <c r="U92" s="12">
        <f>Marketing!$M92 - Marketing!$I92</f>
        <v>4902.79</v>
      </c>
      <c r="V92" s="12">
        <f>IF(Marketing!$L92=0,0,Marketing!$I92/Marketing!$L92)</f>
        <v>3095.21</v>
      </c>
      <c r="W92" s="5" t="str">
        <f>IF(ISNUMBER(SEARCH("tier1",Marketing!$E92)),"Tier 1","Tier 2")</f>
        <v>Tier 2</v>
      </c>
      <c r="X92" s="5" t="str">
        <f t="shared" si="1"/>
        <v>Tier 2</v>
      </c>
      <c r="Y92" s="5" t="str">
        <f>IF(WEEKDAY(Marketing!$D92,2)&lt;6,"Weekday","Weekend")</f>
        <v>Weekday</v>
      </c>
    </row>
    <row r="93" spans="1:25" x14ac:dyDescent="0.35">
      <c r="A93" s="7">
        <v>92</v>
      </c>
      <c r="B93" s="7" t="str">
        <f>TEXT(Marketing!$D93,"MMMM")</f>
        <v>February</v>
      </c>
      <c r="C93" s="7" t="str">
        <f>TEXT(Marketing!$D93,"DDDD")</f>
        <v>Tuesday</v>
      </c>
      <c r="D93" s="8">
        <v>44236</v>
      </c>
      <c r="E93" s="7" t="s">
        <v>5</v>
      </c>
      <c r="F93" s="7" t="s">
        <v>4</v>
      </c>
      <c r="G93" s="7">
        <v>127823</v>
      </c>
      <c r="H93" s="7">
        <v>478600</v>
      </c>
      <c r="I93" s="13">
        <v>20299.3</v>
      </c>
      <c r="J93" s="7">
        <v>2393</v>
      </c>
      <c r="K93" s="7">
        <v>48</v>
      </c>
      <c r="L93" s="7">
        <v>5</v>
      </c>
      <c r="M93" s="13">
        <v>14905</v>
      </c>
      <c r="N93" s="15">
        <v>-2.6573822742656152E-3</v>
      </c>
      <c r="O93" s="16">
        <v>5.0000000000000002E-5</v>
      </c>
      <c r="P93" s="18">
        <v>2.0058503969912244E-4</v>
      </c>
      <c r="Q93" s="16">
        <v>1.0416666666666667E-3</v>
      </c>
      <c r="R93" s="13">
        <f>IF(Marketing!$L93=0, 0, Marketing!$M93/Marketing!$L93)</f>
        <v>2981</v>
      </c>
      <c r="S93" s="13">
        <f>IF(Marketing!$J93=0,0,Marketing!$I93/Marketing!$J93)</f>
        <v>8.482783117425825</v>
      </c>
      <c r="T93" s="13">
        <f>IF(Marketing!$K93=0,0,Marketing!$I93/Marketing!$K93)</f>
        <v>422.90208333333334</v>
      </c>
      <c r="U93" s="13">
        <f>Marketing!$M93 - Marketing!$I93</f>
        <v>-5394.2999999999993</v>
      </c>
      <c r="V93" s="13">
        <f>IF(Marketing!$L93=0,0,Marketing!$I93/Marketing!$L93)</f>
        <v>4059.8599999999997</v>
      </c>
      <c r="W93" s="7" t="str">
        <f>IF(ISNUMBER(SEARCH("tier1",Marketing!$E93)),"Tier 1","Tier 2")</f>
        <v>Tier 2</v>
      </c>
      <c r="X93" s="7" t="str">
        <f t="shared" si="1"/>
        <v>Tier 2</v>
      </c>
      <c r="Y93" s="7" t="str">
        <f>IF(WEEKDAY(Marketing!$D93,2)&lt;6,"Weekday","Weekend")</f>
        <v>Weekday</v>
      </c>
    </row>
    <row r="94" spans="1:25" x14ac:dyDescent="0.35">
      <c r="A94" s="5">
        <v>93</v>
      </c>
      <c r="B94" s="5" t="str">
        <f>TEXT(Marketing!$D94,"MMMM")</f>
        <v>February</v>
      </c>
      <c r="C94" s="5" t="str">
        <f>TEXT(Marketing!$D94,"DDDD")</f>
        <v>Tuesday</v>
      </c>
      <c r="D94" s="6">
        <v>44236</v>
      </c>
      <c r="E94" s="5" t="s">
        <v>6</v>
      </c>
      <c r="F94" s="5" t="s">
        <v>7</v>
      </c>
      <c r="G94" s="5">
        <v>10934</v>
      </c>
      <c r="H94" s="5">
        <v>491821</v>
      </c>
      <c r="I94" s="12">
        <v>27833</v>
      </c>
      <c r="J94" s="5">
        <v>4495</v>
      </c>
      <c r="K94" s="5">
        <v>90</v>
      </c>
      <c r="L94" s="5">
        <v>18</v>
      </c>
      <c r="M94" s="12">
        <v>143658</v>
      </c>
      <c r="N94" s="14">
        <v>4.1614270829590773E-2</v>
      </c>
      <c r="O94" s="16">
        <v>9.1395040065389647E-5</v>
      </c>
      <c r="P94" s="18">
        <v>2.0022246941045607E-4</v>
      </c>
      <c r="Q94" s="16">
        <v>2E-3</v>
      </c>
      <c r="R94" s="12">
        <f>IF(Marketing!$L94=0, 0, Marketing!$M94/Marketing!$L94)</f>
        <v>7981</v>
      </c>
      <c r="S94" s="12">
        <f>IF(Marketing!$J94=0,0,Marketing!$I94/Marketing!$J94)</f>
        <v>6.1919911012235813</v>
      </c>
      <c r="T94" s="12">
        <f>IF(Marketing!$K94=0,0,Marketing!$I94/Marketing!$K94)</f>
        <v>309.25555555555553</v>
      </c>
      <c r="U94" s="12">
        <f>Marketing!$M94 - Marketing!$I94</f>
        <v>115825</v>
      </c>
      <c r="V94" s="12">
        <f>IF(Marketing!$L94=0,0,Marketing!$I94/Marketing!$L94)</f>
        <v>1546.2777777777778</v>
      </c>
      <c r="W94" s="5" t="str">
        <f>IF(ISNUMBER(SEARCH("tier1",Marketing!$E94)),"Tier 1","Tier 2")</f>
        <v>Tier 2</v>
      </c>
      <c r="X94" s="5" t="str">
        <f t="shared" si="1"/>
        <v>Tier 2</v>
      </c>
      <c r="Y94" s="5" t="str">
        <f>IF(WEEKDAY(Marketing!$D94,2)&lt;6,"Weekday","Weekend")</f>
        <v>Weekday</v>
      </c>
    </row>
    <row r="95" spans="1:25" x14ac:dyDescent="0.35">
      <c r="A95" s="7">
        <v>94</v>
      </c>
      <c r="B95" s="7" t="str">
        <f>TEXT(Marketing!$D95,"MMMM")</f>
        <v>February</v>
      </c>
      <c r="C95" s="7" t="str">
        <f>TEXT(Marketing!$D95,"DDDD")</f>
        <v>Tuesday</v>
      </c>
      <c r="D95" s="8">
        <v>44236</v>
      </c>
      <c r="E95" s="7" t="s">
        <v>8</v>
      </c>
      <c r="F95" s="7" t="s">
        <v>2</v>
      </c>
      <c r="G95" s="7">
        <v>9034945</v>
      </c>
      <c r="H95" s="7">
        <v>759532</v>
      </c>
      <c r="I95" s="13">
        <v>10317</v>
      </c>
      <c r="J95" s="7">
        <v>2701</v>
      </c>
      <c r="K95" s="7">
        <v>19</v>
      </c>
      <c r="L95" s="7">
        <v>3</v>
      </c>
      <c r="M95" s="13">
        <v>19800</v>
      </c>
      <c r="N95" s="15">
        <v>9.1916254725210814E-3</v>
      </c>
      <c r="O95" s="16">
        <v>3.5561372002759598E-5</v>
      </c>
      <c r="P95" s="18">
        <v>7.0344316919659382E-5</v>
      </c>
      <c r="Q95" s="16">
        <v>1.5789473684210526E-3</v>
      </c>
      <c r="R95" s="13">
        <f>IF(Marketing!$L95=0, 0, Marketing!$M95/Marketing!$L95)</f>
        <v>6600</v>
      </c>
      <c r="S95" s="13">
        <f>IF(Marketing!$J95=0,0,Marketing!$I95/Marketing!$J95)</f>
        <v>3.8196964087375047</v>
      </c>
      <c r="T95" s="13">
        <f>IF(Marketing!$K95=0,0,Marketing!$I95/Marketing!$K95)</f>
        <v>543</v>
      </c>
      <c r="U95" s="13">
        <f>Marketing!$M95 - Marketing!$I95</f>
        <v>9483</v>
      </c>
      <c r="V95" s="13">
        <f>IF(Marketing!$L95=0,0,Marketing!$I95/Marketing!$L95)</f>
        <v>3439</v>
      </c>
      <c r="W95" s="7" t="str">
        <f>IF(ISNUMBER(SEARCH("tier1",Marketing!$E95)),"Tier 1","Tier 2")</f>
        <v>Tier 1</v>
      </c>
      <c r="X95" s="7" t="str">
        <f t="shared" si="1"/>
        <v>Tier 1</v>
      </c>
      <c r="Y95" s="7" t="str">
        <f>IF(WEEKDAY(Marketing!$D95,2)&lt;6,"Weekday","Weekend")</f>
        <v>Weekday</v>
      </c>
    </row>
    <row r="96" spans="1:25" x14ac:dyDescent="0.35">
      <c r="A96" s="5">
        <v>95</v>
      </c>
      <c r="B96" s="5" t="str">
        <f>TEXT(Marketing!$D96,"MMMM")</f>
        <v>February</v>
      </c>
      <c r="C96" s="5" t="str">
        <f>TEXT(Marketing!$D96,"DDDD")</f>
        <v>Tuesday</v>
      </c>
      <c r="D96" s="6">
        <v>44236</v>
      </c>
      <c r="E96" s="5" t="s">
        <v>9</v>
      </c>
      <c r="F96" s="5" t="s">
        <v>2</v>
      </c>
      <c r="G96" s="5">
        <v>983498</v>
      </c>
      <c r="H96" s="5">
        <v>1022000</v>
      </c>
      <c r="I96" s="12">
        <v>7398.26</v>
      </c>
      <c r="J96" s="5">
        <v>5110</v>
      </c>
      <c r="K96" s="5">
        <v>102</v>
      </c>
      <c r="L96" s="5">
        <v>3</v>
      </c>
      <c r="M96" s="12">
        <v>5943</v>
      </c>
      <c r="N96" s="14">
        <v>-1.9670300854525255E-3</v>
      </c>
      <c r="O96" s="16">
        <v>5.0000000000000002E-5</v>
      </c>
      <c r="P96" s="18">
        <v>1.9960861056751467E-4</v>
      </c>
      <c r="Q96" s="16">
        <v>2.941176470588235E-4</v>
      </c>
      <c r="R96" s="12">
        <f>IF(Marketing!$L96=0, 0, Marketing!$M96/Marketing!$L96)</f>
        <v>1981</v>
      </c>
      <c r="S96" s="12">
        <f>IF(Marketing!$J96=0,0,Marketing!$I96/Marketing!$J96)</f>
        <v>1.4478003913894326</v>
      </c>
      <c r="T96" s="12">
        <f>IF(Marketing!$K96=0,0,Marketing!$I96/Marketing!$K96)</f>
        <v>72.531960784313725</v>
      </c>
      <c r="U96" s="12">
        <f>Marketing!$M96 - Marketing!$I96</f>
        <v>-1455.2600000000002</v>
      </c>
      <c r="V96" s="12">
        <f>IF(Marketing!$L96=0,0,Marketing!$I96/Marketing!$L96)</f>
        <v>2466.0866666666666</v>
      </c>
      <c r="W96" s="5" t="str">
        <f>IF(ISNUMBER(SEARCH("tier1",Marketing!$E96)),"Tier 1","Tier 2")</f>
        <v>Tier 2</v>
      </c>
      <c r="X96" s="5" t="str">
        <f t="shared" si="1"/>
        <v>Tier 2</v>
      </c>
      <c r="Y96" s="5" t="str">
        <f>IF(WEEKDAY(Marketing!$D96,2)&lt;6,"Weekday","Weekend")</f>
        <v>Weekday</v>
      </c>
    </row>
    <row r="97" spans="1:25" x14ac:dyDescent="0.35">
      <c r="A97" s="7">
        <v>96</v>
      </c>
      <c r="B97" s="7" t="str">
        <f>TEXT(Marketing!$D97,"MMMM")</f>
        <v>February</v>
      </c>
      <c r="C97" s="7" t="str">
        <f>TEXT(Marketing!$D97,"DDDD")</f>
        <v>Tuesday</v>
      </c>
      <c r="D97" s="8">
        <v>44236</v>
      </c>
      <c r="E97" s="7" t="s">
        <v>10</v>
      </c>
      <c r="F97" s="7" t="s">
        <v>2</v>
      </c>
      <c r="G97" s="7">
        <v>4387490</v>
      </c>
      <c r="H97" s="7">
        <v>9721</v>
      </c>
      <c r="I97" s="13">
        <v>2152.37</v>
      </c>
      <c r="J97" s="7">
        <v>290</v>
      </c>
      <c r="K97" s="7">
        <v>6</v>
      </c>
      <c r="L97" s="7">
        <v>1</v>
      </c>
      <c r="M97" s="13">
        <v>4353</v>
      </c>
      <c r="N97" s="15">
        <v>1.0224217955091366E-2</v>
      </c>
      <c r="O97" s="16">
        <v>2.9832321777594899E-4</v>
      </c>
      <c r="P97" s="18">
        <v>2.0689655172413793E-4</v>
      </c>
      <c r="Q97" s="16">
        <v>1.6666666666666666E-3</v>
      </c>
      <c r="R97" s="13">
        <f>IF(Marketing!$L97=0, 0, Marketing!$M97/Marketing!$L97)</f>
        <v>4353</v>
      </c>
      <c r="S97" s="13">
        <f>IF(Marketing!$J97=0,0,Marketing!$I97/Marketing!$J97)</f>
        <v>7.4219655172413788</v>
      </c>
      <c r="T97" s="13">
        <f>IF(Marketing!$K97=0,0,Marketing!$I97/Marketing!$K97)</f>
        <v>358.7283333333333</v>
      </c>
      <c r="U97" s="13">
        <f>Marketing!$M97 - Marketing!$I97</f>
        <v>2200.63</v>
      </c>
      <c r="V97" s="13">
        <f>IF(Marketing!$L97=0,0,Marketing!$I97/Marketing!$L97)</f>
        <v>2152.37</v>
      </c>
      <c r="W97" s="7" t="str">
        <f>IF(ISNUMBER(SEARCH("tier1",Marketing!$E97)),"Tier 1","Tier 2")</f>
        <v>Tier 2</v>
      </c>
      <c r="X97" s="7" t="str">
        <f t="shared" si="1"/>
        <v>Tier 2</v>
      </c>
      <c r="Y97" s="7" t="str">
        <f>IF(WEEKDAY(Marketing!$D97,2)&lt;6,"Weekday","Weekend")</f>
        <v>Weekday</v>
      </c>
    </row>
    <row r="98" spans="1:25" x14ac:dyDescent="0.35">
      <c r="A98" s="5">
        <v>97</v>
      </c>
      <c r="B98" s="5" t="str">
        <f>TEXT(Marketing!$D98,"MMMM")</f>
        <v>February</v>
      </c>
      <c r="C98" s="5" t="str">
        <f>TEXT(Marketing!$D98,"DDDD")</f>
        <v>Tuesday</v>
      </c>
      <c r="D98" s="6">
        <v>44236</v>
      </c>
      <c r="E98" s="5" t="s">
        <v>11</v>
      </c>
      <c r="F98" s="5" t="s">
        <v>2</v>
      </c>
      <c r="G98" s="5">
        <v>544756</v>
      </c>
      <c r="H98" s="5">
        <v>189854</v>
      </c>
      <c r="I98" s="12">
        <v>29091.4</v>
      </c>
      <c r="J98" s="5">
        <v>1198</v>
      </c>
      <c r="K98" s="5">
        <v>24</v>
      </c>
      <c r="L98" s="5">
        <v>3</v>
      </c>
      <c r="M98" s="12">
        <v>2943</v>
      </c>
      <c r="N98" s="14">
        <v>-8.9883608214111396E-3</v>
      </c>
      <c r="O98" s="16">
        <v>6.3101119807852351E-5</v>
      </c>
      <c r="P98" s="18">
        <v>2.0033388981636059E-4</v>
      </c>
      <c r="Q98" s="16">
        <v>1.25E-3</v>
      </c>
      <c r="R98" s="12">
        <f>IF(Marketing!$L98=0, 0, Marketing!$M98/Marketing!$L98)</f>
        <v>981</v>
      </c>
      <c r="S98" s="12">
        <f>IF(Marketing!$J98=0,0,Marketing!$I98/Marketing!$J98)</f>
        <v>24.283305509181972</v>
      </c>
      <c r="T98" s="12">
        <f>IF(Marketing!$K98=0,0,Marketing!$I98/Marketing!$K98)</f>
        <v>1212.1416666666667</v>
      </c>
      <c r="U98" s="12">
        <f>Marketing!$M98 - Marketing!$I98</f>
        <v>-26148.400000000001</v>
      </c>
      <c r="V98" s="12">
        <f>IF(Marketing!$L98=0,0,Marketing!$I98/Marketing!$L98)</f>
        <v>9697.1333333333332</v>
      </c>
      <c r="W98" s="5" t="str">
        <f>IF(ISNUMBER(SEARCH("tier1",Marketing!$E98)),"Tier 1","Tier 2")</f>
        <v>Tier 2</v>
      </c>
      <c r="X98" s="5" t="str">
        <f t="shared" si="1"/>
        <v>Tier 2</v>
      </c>
      <c r="Y98" s="5" t="str">
        <f>IF(WEEKDAY(Marketing!$D98,2)&lt;6,"Weekday","Weekend")</f>
        <v>Weekday</v>
      </c>
    </row>
    <row r="99" spans="1:25" x14ac:dyDescent="0.35">
      <c r="A99" s="7">
        <v>98</v>
      </c>
      <c r="B99" s="7" t="str">
        <f>TEXT(Marketing!$D99,"MMMM")</f>
        <v>February</v>
      </c>
      <c r="C99" s="7" t="str">
        <f>TEXT(Marketing!$D99,"DDDD")</f>
        <v>Tuesday</v>
      </c>
      <c r="D99" s="8">
        <v>44236</v>
      </c>
      <c r="E99" s="7" t="s">
        <v>12</v>
      </c>
      <c r="F99" s="7" t="s">
        <v>7</v>
      </c>
      <c r="G99" s="7">
        <v>374754</v>
      </c>
      <c r="H99" s="7">
        <v>346068</v>
      </c>
      <c r="I99" s="13">
        <v>57642.400000000001</v>
      </c>
      <c r="J99" s="7">
        <v>3006</v>
      </c>
      <c r="K99" s="7">
        <v>99</v>
      </c>
      <c r="L99" s="7">
        <v>15</v>
      </c>
      <c r="M99" s="13">
        <v>89460</v>
      </c>
      <c r="N99" s="15">
        <v>5.5198256838715938E-3</v>
      </c>
      <c r="O99" s="16">
        <v>8.6861541662332264E-5</v>
      </c>
      <c r="P99" s="18">
        <v>3.2934131736526951E-4</v>
      </c>
      <c r="Q99" s="16">
        <v>1.5151515151515152E-3</v>
      </c>
      <c r="R99" s="13">
        <f>IF(Marketing!$L99=0, 0, Marketing!$M99/Marketing!$L99)</f>
        <v>5964</v>
      </c>
      <c r="S99" s="13">
        <f>IF(Marketing!$J99=0,0,Marketing!$I99/Marketing!$J99)</f>
        <v>19.175781769793748</v>
      </c>
      <c r="T99" s="13">
        <f>IF(Marketing!$K99=0,0,Marketing!$I99/Marketing!$K99)</f>
        <v>582.24646464646469</v>
      </c>
      <c r="U99" s="13">
        <f>Marketing!$M99 - Marketing!$I99</f>
        <v>31817.599999999999</v>
      </c>
      <c r="V99" s="13">
        <f>IF(Marketing!$L99=0,0,Marketing!$I99/Marketing!$L99)</f>
        <v>3842.8266666666668</v>
      </c>
      <c r="W99" s="7" t="str">
        <f>IF(ISNUMBER(SEARCH("tier1",Marketing!$E99)),"Tier 1","Tier 2")</f>
        <v>Tier 2</v>
      </c>
      <c r="X99" s="7" t="str">
        <f t="shared" si="1"/>
        <v>Tier 2</v>
      </c>
      <c r="Y99" s="7" t="str">
        <f>IF(WEEKDAY(Marketing!$D99,2)&lt;6,"Weekday","Weekend")</f>
        <v>Weekday</v>
      </c>
    </row>
    <row r="100" spans="1:25" x14ac:dyDescent="0.35">
      <c r="A100" s="5">
        <v>99</v>
      </c>
      <c r="B100" s="5" t="str">
        <f>TEXT(Marketing!$D100,"MMMM")</f>
        <v>February</v>
      </c>
      <c r="C100" s="5" t="str">
        <f>TEXT(Marketing!$D100,"DDDD")</f>
        <v>Tuesday</v>
      </c>
      <c r="D100" s="6">
        <v>44236</v>
      </c>
      <c r="E100" s="5" t="s">
        <v>13</v>
      </c>
      <c r="F100" s="5" t="s">
        <v>14</v>
      </c>
      <c r="G100" s="5">
        <v>39889</v>
      </c>
      <c r="H100" s="5">
        <v>3736884</v>
      </c>
      <c r="I100" s="12">
        <v>44731.7</v>
      </c>
      <c r="J100" s="5">
        <v>4190</v>
      </c>
      <c r="K100" s="5">
        <v>84</v>
      </c>
      <c r="L100" s="5">
        <v>13</v>
      </c>
      <c r="M100" s="12">
        <v>51259</v>
      </c>
      <c r="N100" s="14">
        <v>1.4592112528698895E-3</v>
      </c>
      <c r="O100" s="16">
        <v>1.1212550349435519E-5</v>
      </c>
      <c r="P100" s="18">
        <v>2.0047732696897375E-4</v>
      </c>
      <c r="Q100" s="16">
        <v>1.5476190476190477E-3</v>
      </c>
      <c r="R100" s="12">
        <f>IF(Marketing!$L100=0, 0, Marketing!$M100/Marketing!$L100)</f>
        <v>3943</v>
      </c>
      <c r="S100" s="12">
        <f>IF(Marketing!$J100=0,0,Marketing!$I100/Marketing!$J100)</f>
        <v>10.675823389021479</v>
      </c>
      <c r="T100" s="12">
        <f>IF(Marketing!$K100=0,0,Marketing!$I100/Marketing!$K100)</f>
        <v>532.52023809523803</v>
      </c>
      <c r="U100" s="12">
        <f>Marketing!$M100 - Marketing!$I100</f>
        <v>6527.3000000000029</v>
      </c>
      <c r="V100" s="12">
        <f>IF(Marketing!$L100=0,0,Marketing!$I100/Marketing!$L100)</f>
        <v>3440.8999999999996</v>
      </c>
      <c r="W100" s="5" t="str">
        <f>IF(ISNUMBER(SEARCH("tier1",Marketing!$E100)),"Tier 1","Tier 2")</f>
        <v>Tier 2</v>
      </c>
      <c r="X100" s="5" t="str">
        <f t="shared" si="1"/>
        <v>Tier 2</v>
      </c>
      <c r="Y100" s="5" t="str">
        <f>IF(WEEKDAY(Marketing!$D100,2)&lt;6,"Weekday","Weekend")</f>
        <v>Weekday</v>
      </c>
    </row>
    <row r="101" spans="1:25" x14ac:dyDescent="0.35">
      <c r="A101" s="7">
        <v>100</v>
      </c>
      <c r="B101" s="7" t="str">
        <f>TEXT(Marketing!$D101,"MMMM")</f>
        <v>February</v>
      </c>
      <c r="C101" s="7" t="str">
        <f>TEXT(Marketing!$D101,"DDDD")</f>
        <v>Wednesday</v>
      </c>
      <c r="D101" s="8">
        <v>44237</v>
      </c>
      <c r="E101" s="7" t="s">
        <v>1</v>
      </c>
      <c r="F101" s="7" t="s">
        <v>2</v>
      </c>
      <c r="G101" s="7">
        <v>349043</v>
      </c>
      <c r="H101" s="7">
        <v>961800</v>
      </c>
      <c r="I101" s="13">
        <v>43386.400000000001</v>
      </c>
      <c r="J101" s="7">
        <v>4809</v>
      </c>
      <c r="K101" s="7">
        <v>96</v>
      </c>
      <c r="L101" s="7">
        <v>8</v>
      </c>
      <c r="M101" s="13">
        <v>42400</v>
      </c>
      <c r="N101" s="15">
        <v>-2.2735235004517576E-4</v>
      </c>
      <c r="O101" s="16">
        <v>5.0000000000000002E-5</v>
      </c>
      <c r="P101" s="18">
        <v>1.9962570180910791E-4</v>
      </c>
      <c r="Q101" s="16">
        <v>8.3333333333333328E-4</v>
      </c>
      <c r="R101" s="13">
        <f>IF(Marketing!$L101=0, 0, Marketing!$M101/Marketing!$L101)</f>
        <v>5300</v>
      </c>
      <c r="S101" s="13">
        <f>IF(Marketing!$J101=0,0,Marketing!$I101/Marketing!$J101)</f>
        <v>9.0219172385111257</v>
      </c>
      <c r="T101" s="13">
        <f>IF(Marketing!$K101=0,0,Marketing!$I101/Marketing!$K101)</f>
        <v>451.94166666666666</v>
      </c>
      <c r="U101" s="13">
        <f>Marketing!$M101 - Marketing!$I101</f>
        <v>-986.40000000000146</v>
      </c>
      <c r="V101" s="13">
        <f>IF(Marketing!$L101=0,0,Marketing!$I101/Marketing!$L101)</f>
        <v>5423.3</v>
      </c>
      <c r="W101" s="7" t="str">
        <f>IF(ISNUMBER(SEARCH("tier1",Marketing!$E101)),"Tier 1","Tier 2")</f>
        <v>Tier 1</v>
      </c>
      <c r="X101" s="7" t="str">
        <f t="shared" si="1"/>
        <v>Tier 1</v>
      </c>
      <c r="Y101" s="7" t="str">
        <f>IF(WEEKDAY(Marketing!$D101,2)&lt;6,"Weekday","Weekend")</f>
        <v>Weekday</v>
      </c>
    </row>
    <row r="102" spans="1:25" x14ac:dyDescent="0.35">
      <c r="A102" s="5">
        <v>101</v>
      </c>
      <c r="B102" s="5" t="str">
        <f>TEXT(Marketing!$D102,"MMMM")</f>
        <v>February</v>
      </c>
      <c r="C102" s="5" t="str">
        <f>TEXT(Marketing!$D102,"DDDD")</f>
        <v>Wednesday</v>
      </c>
      <c r="D102" s="6">
        <v>44237</v>
      </c>
      <c r="E102" s="7" t="s">
        <v>67</v>
      </c>
      <c r="F102" s="5" t="s">
        <v>2</v>
      </c>
      <c r="G102" s="5">
        <v>348934</v>
      </c>
      <c r="H102" s="5">
        <v>852250</v>
      </c>
      <c r="I102" s="12">
        <v>43865.9</v>
      </c>
      <c r="J102" s="5">
        <v>6596</v>
      </c>
      <c r="K102" s="5">
        <v>132</v>
      </c>
      <c r="L102" s="5">
        <v>7</v>
      </c>
      <c r="M102" s="12">
        <v>34867</v>
      </c>
      <c r="N102" s="14">
        <v>-2.0514568263731055E-3</v>
      </c>
      <c r="O102" s="16">
        <v>7.7395130536814322E-5</v>
      </c>
      <c r="P102" s="18">
        <v>2.0012128562765311E-4</v>
      </c>
      <c r="Q102" s="16">
        <v>5.3030303030303036E-4</v>
      </c>
      <c r="R102" s="12">
        <f>IF(Marketing!$L102=0, 0, Marketing!$M102/Marketing!$L102)</f>
        <v>4981</v>
      </c>
      <c r="S102" s="12">
        <f>IF(Marketing!$J102=0,0,Marketing!$I102/Marketing!$J102)</f>
        <v>6.6503790175864159</v>
      </c>
      <c r="T102" s="12">
        <f>IF(Marketing!$K102=0,0,Marketing!$I102/Marketing!$K102)</f>
        <v>332.31742424242424</v>
      </c>
      <c r="U102" s="12">
        <f>Marketing!$M102 - Marketing!$I102</f>
        <v>-8998.9000000000015</v>
      </c>
      <c r="V102" s="12">
        <f>IF(Marketing!$L102=0,0,Marketing!$I102/Marketing!$L102)</f>
        <v>6266.5571428571429</v>
      </c>
      <c r="W102" s="5" t="str">
        <f>IF(ISNUMBER(SEARCH("tier1",Marketing!$E102)),"Tier 1","Tier 2")</f>
        <v>Tier 2</v>
      </c>
      <c r="X102" s="5" t="str">
        <f t="shared" si="1"/>
        <v>Tier 2</v>
      </c>
      <c r="Y102" s="5" t="str">
        <f>IF(WEEKDAY(Marketing!$D102,2)&lt;6,"Weekday","Weekend")</f>
        <v>Weekday</v>
      </c>
    </row>
    <row r="103" spans="1:25" x14ac:dyDescent="0.35">
      <c r="A103" s="7">
        <v>102</v>
      </c>
      <c r="B103" s="7" t="str">
        <f>TEXT(Marketing!$D103,"MMMM")</f>
        <v>February</v>
      </c>
      <c r="C103" s="7" t="str">
        <f>TEXT(Marketing!$D103,"DDDD")</f>
        <v>Wednesday</v>
      </c>
      <c r="D103" s="8">
        <v>44237</v>
      </c>
      <c r="E103" s="7" t="s">
        <v>3</v>
      </c>
      <c r="F103" s="7" t="s">
        <v>4</v>
      </c>
      <c r="G103" s="7">
        <v>89459845</v>
      </c>
      <c r="H103" s="7">
        <v>108748</v>
      </c>
      <c r="I103" s="13">
        <v>51883.1</v>
      </c>
      <c r="J103" s="7">
        <v>1797</v>
      </c>
      <c r="K103" s="7">
        <v>57</v>
      </c>
      <c r="L103" s="7">
        <v>11</v>
      </c>
      <c r="M103" s="13">
        <v>86724</v>
      </c>
      <c r="N103" s="15">
        <v>6.715269519361796E-3</v>
      </c>
      <c r="O103" s="16">
        <v>1.6524441828815243E-4</v>
      </c>
      <c r="P103" s="18">
        <v>3.1719532554257092E-4</v>
      </c>
      <c r="Q103" s="16">
        <v>1.9298245614035087E-3</v>
      </c>
      <c r="R103" s="13">
        <f>IF(Marketing!$L103=0, 0, Marketing!$M103/Marketing!$L103)</f>
        <v>7884</v>
      </c>
      <c r="S103" s="13">
        <f>IF(Marketing!$J103=0,0,Marketing!$I103/Marketing!$J103)</f>
        <v>28.872064552031162</v>
      </c>
      <c r="T103" s="13">
        <f>IF(Marketing!$K103=0,0,Marketing!$I103/Marketing!$K103)</f>
        <v>910.22982456140346</v>
      </c>
      <c r="U103" s="13">
        <f>Marketing!$M103 - Marketing!$I103</f>
        <v>34840.9</v>
      </c>
      <c r="V103" s="13">
        <f>IF(Marketing!$L103=0,0,Marketing!$I103/Marketing!$L103)</f>
        <v>4716.6454545454544</v>
      </c>
      <c r="W103" s="7" t="str">
        <f>IF(ISNUMBER(SEARCH("tier1",Marketing!$E103)),"Tier 1","Tier 2")</f>
        <v>Tier 2</v>
      </c>
      <c r="X103" s="7" t="str">
        <f t="shared" si="1"/>
        <v>Tier 2</v>
      </c>
      <c r="Y103" s="7" t="str">
        <f>IF(WEEKDAY(Marketing!$D103,2)&lt;6,"Weekday","Weekend")</f>
        <v>Weekday</v>
      </c>
    </row>
    <row r="104" spans="1:25" x14ac:dyDescent="0.35">
      <c r="A104" s="5">
        <v>103</v>
      </c>
      <c r="B104" s="5" t="str">
        <f>TEXT(Marketing!$D104,"MMMM")</f>
        <v>February</v>
      </c>
      <c r="C104" s="5" t="str">
        <f>TEXT(Marketing!$D104,"DDDD")</f>
        <v>Wednesday</v>
      </c>
      <c r="D104" s="6">
        <v>44237</v>
      </c>
      <c r="E104" s="5" t="s">
        <v>5</v>
      </c>
      <c r="F104" s="5" t="s">
        <v>4</v>
      </c>
      <c r="G104" s="5">
        <v>127823</v>
      </c>
      <c r="H104" s="5">
        <v>797238</v>
      </c>
      <c r="I104" s="12">
        <v>67577.8</v>
      </c>
      <c r="J104" s="5">
        <v>4797</v>
      </c>
      <c r="K104" s="5">
        <v>154</v>
      </c>
      <c r="L104" s="5">
        <v>19</v>
      </c>
      <c r="M104" s="12">
        <v>42598</v>
      </c>
      <c r="N104" s="14">
        <v>-3.6964506095196947E-3</v>
      </c>
      <c r="O104" s="16">
        <v>6.0170237745817433E-5</v>
      </c>
      <c r="P104" s="18">
        <v>3.2103397957056494E-4</v>
      </c>
      <c r="Q104" s="16">
        <v>1.2337662337662337E-3</v>
      </c>
      <c r="R104" s="12">
        <f>IF(Marketing!$L104=0, 0, Marketing!$M104/Marketing!$L104)</f>
        <v>2242</v>
      </c>
      <c r="S104" s="12">
        <f>IF(Marketing!$J104=0,0,Marketing!$I104/Marketing!$J104)</f>
        <v>14.087513028976444</v>
      </c>
      <c r="T104" s="12">
        <f>IF(Marketing!$K104=0,0,Marketing!$I104/Marketing!$K104)</f>
        <v>438.81688311688316</v>
      </c>
      <c r="U104" s="12">
        <f>Marketing!$M104 - Marketing!$I104</f>
        <v>-24979.800000000003</v>
      </c>
      <c r="V104" s="12">
        <f>IF(Marketing!$L104=0,0,Marketing!$I104/Marketing!$L104)</f>
        <v>3556.726315789474</v>
      </c>
      <c r="W104" s="5" t="str">
        <f>IF(ISNUMBER(SEARCH("tier1",Marketing!$E104)),"Tier 1","Tier 2")</f>
        <v>Tier 2</v>
      </c>
      <c r="X104" s="5" t="str">
        <f t="shared" si="1"/>
        <v>Tier 2</v>
      </c>
      <c r="Y104" s="5" t="str">
        <f>IF(WEEKDAY(Marketing!$D104,2)&lt;6,"Weekday","Weekend")</f>
        <v>Weekday</v>
      </c>
    </row>
    <row r="105" spans="1:25" x14ac:dyDescent="0.35">
      <c r="A105" s="7">
        <v>104</v>
      </c>
      <c r="B105" s="7" t="str">
        <f>TEXT(Marketing!$D105,"MMMM")</f>
        <v>February</v>
      </c>
      <c r="C105" s="7" t="str">
        <f>TEXT(Marketing!$D105,"DDDD")</f>
        <v>Wednesday</v>
      </c>
      <c r="D105" s="8">
        <v>44237</v>
      </c>
      <c r="E105" s="7" t="s">
        <v>6</v>
      </c>
      <c r="F105" s="7" t="s">
        <v>7</v>
      </c>
      <c r="G105" s="7">
        <v>10934</v>
      </c>
      <c r="H105" s="7">
        <v>1469962</v>
      </c>
      <c r="I105" s="13">
        <v>19831.400000000001</v>
      </c>
      <c r="J105" s="7">
        <v>8998</v>
      </c>
      <c r="K105" s="7">
        <v>80</v>
      </c>
      <c r="L105" s="7">
        <v>16</v>
      </c>
      <c r="M105" s="13">
        <v>130768</v>
      </c>
      <c r="N105" s="15">
        <v>5.593987313049003E-2</v>
      </c>
      <c r="O105" s="16">
        <v>6.1212466716826694E-5</v>
      </c>
      <c r="P105" s="18">
        <v>8.8908646365859067E-5</v>
      </c>
      <c r="Q105" s="16">
        <v>2E-3</v>
      </c>
      <c r="R105" s="13">
        <f>IF(Marketing!$L105=0, 0, Marketing!$M105/Marketing!$L105)</f>
        <v>8173</v>
      </c>
      <c r="S105" s="13">
        <f>IF(Marketing!$J105=0,0,Marketing!$I105/Marketing!$J105)</f>
        <v>2.2039786619248725</v>
      </c>
      <c r="T105" s="13">
        <f>IF(Marketing!$K105=0,0,Marketing!$I105/Marketing!$K105)</f>
        <v>247.89250000000001</v>
      </c>
      <c r="U105" s="13">
        <f>Marketing!$M105 - Marketing!$I105</f>
        <v>110936.6</v>
      </c>
      <c r="V105" s="13">
        <f>IF(Marketing!$L105=0,0,Marketing!$I105/Marketing!$L105)</f>
        <v>1239.4625000000001</v>
      </c>
      <c r="W105" s="7" t="str">
        <f>IF(ISNUMBER(SEARCH("tier1",Marketing!$E105)),"Tier 1","Tier 2")</f>
        <v>Tier 2</v>
      </c>
      <c r="X105" s="7" t="str">
        <f t="shared" si="1"/>
        <v>Tier 2</v>
      </c>
      <c r="Y105" s="7" t="str">
        <f>IF(WEEKDAY(Marketing!$D105,2)&lt;6,"Weekday","Weekend")</f>
        <v>Weekday</v>
      </c>
    </row>
    <row r="106" spans="1:25" x14ac:dyDescent="0.35">
      <c r="A106" s="5">
        <v>105</v>
      </c>
      <c r="B106" s="5" t="str">
        <f>TEXT(Marketing!$D106,"MMMM")</f>
        <v>February</v>
      </c>
      <c r="C106" s="5" t="str">
        <f>TEXT(Marketing!$D106,"DDDD")</f>
        <v>Wednesday</v>
      </c>
      <c r="D106" s="6">
        <v>44237</v>
      </c>
      <c r="E106" s="5" t="s">
        <v>8</v>
      </c>
      <c r="F106" s="5" t="s">
        <v>2</v>
      </c>
      <c r="G106" s="5">
        <v>9034945</v>
      </c>
      <c r="H106" s="5">
        <v>3858193</v>
      </c>
      <c r="I106" s="12">
        <v>38890.300000000003</v>
      </c>
      <c r="J106" s="5">
        <v>5406</v>
      </c>
      <c r="K106" s="5">
        <v>186</v>
      </c>
      <c r="L106" s="5">
        <v>14</v>
      </c>
      <c r="M106" s="12">
        <v>83734</v>
      </c>
      <c r="N106" s="14">
        <v>1.1530818738862903E-2</v>
      </c>
      <c r="O106" s="16">
        <v>1.4011740729403636E-5</v>
      </c>
      <c r="P106" s="18">
        <v>3.440621531631521E-4</v>
      </c>
      <c r="Q106" s="16">
        <v>7.5268817204301075E-4</v>
      </c>
      <c r="R106" s="12">
        <f>IF(Marketing!$L106=0, 0, Marketing!$M106/Marketing!$L106)</f>
        <v>5981</v>
      </c>
      <c r="S106" s="12">
        <f>IF(Marketing!$J106=0,0,Marketing!$I106/Marketing!$J106)</f>
        <v>7.1939141694413618</v>
      </c>
      <c r="T106" s="12">
        <f>IF(Marketing!$K106=0,0,Marketing!$I106/Marketing!$K106)</f>
        <v>209.08763440860216</v>
      </c>
      <c r="U106" s="12">
        <f>Marketing!$M106 - Marketing!$I106</f>
        <v>44843.7</v>
      </c>
      <c r="V106" s="12">
        <f>IF(Marketing!$L106=0,0,Marketing!$I106/Marketing!$L106)</f>
        <v>2777.8785714285718</v>
      </c>
      <c r="W106" s="5" t="str">
        <f>IF(ISNUMBER(SEARCH("tier1",Marketing!$E106)),"Tier 1","Tier 2")</f>
        <v>Tier 1</v>
      </c>
      <c r="X106" s="5" t="str">
        <f t="shared" si="1"/>
        <v>Tier 1</v>
      </c>
      <c r="Y106" s="5" t="str">
        <f>IF(WEEKDAY(Marketing!$D106,2)&lt;6,"Weekday","Weekend")</f>
        <v>Weekday</v>
      </c>
    </row>
    <row r="107" spans="1:25" x14ac:dyDescent="0.35">
      <c r="A107" s="7">
        <v>106</v>
      </c>
      <c r="B107" s="7" t="str">
        <f>TEXT(Marketing!$D107,"MMMM")</f>
        <v>February</v>
      </c>
      <c r="C107" s="7" t="str">
        <f>TEXT(Marketing!$D107,"DDDD")</f>
        <v>Wednesday</v>
      </c>
      <c r="D107" s="8">
        <v>44237</v>
      </c>
      <c r="E107" s="7" t="s">
        <v>9</v>
      </c>
      <c r="F107" s="7" t="s">
        <v>2</v>
      </c>
      <c r="G107" s="7">
        <v>983498</v>
      </c>
      <c r="H107" s="7">
        <v>2040000</v>
      </c>
      <c r="I107" s="13">
        <v>14147.9</v>
      </c>
      <c r="J107" s="7">
        <v>10200</v>
      </c>
      <c r="K107" s="7">
        <v>395</v>
      </c>
      <c r="L107" s="7">
        <v>4</v>
      </c>
      <c r="M107" s="13">
        <v>7924</v>
      </c>
      <c r="N107" s="15">
        <v>-4.3991687812325502E-3</v>
      </c>
      <c r="O107" s="16">
        <v>5.0000000000000002E-5</v>
      </c>
      <c r="P107" s="18">
        <v>3.8725490196078434E-4</v>
      </c>
      <c r="Q107" s="16">
        <v>1.0126582278481013E-4</v>
      </c>
      <c r="R107" s="13">
        <f>IF(Marketing!$L107=0, 0, Marketing!$M107/Marketing!$L107)</f>
        <v>1981</v>
      </c>
      <c r="S107" s="13">
        <f>IF(Marketing!$J107=0,0,Marketing!$I107/Marketing!$J107)</f>
        <v>1.3870490196078431</v>
      </c>
      <c r="T107" s="13">
        <f>IF(Marketing!$K107=0,0,Marketing!$I107/Marketing!$K107)</f>
        <v>35.817468354430382</v>
      </c>
      <c r="U107" s="13">
        <f>Marketing!$M107 - Marketing!$I107</f>
        <v>-6223.9</v>
      </c>
      <c r="V107" s="13">
        <f>IF(Marketing!$L107=0,0,Marketing!$I107/Marketing!$L107)</f>
        <v>3536.9749999999999</v>
      </c>
      <c r="W107" s="7" t="str">
        <f>IF(ISNUMBER(SEARCH("tier1",Marketing!$E107)),"Tier 1","Tier 2")</f>
        <v>Tier 2</v>
      </c>
      <c r="X107" s="7" t="str">
        <f t="shared" si="1"/>
        <v>Tier 2</v>
      </c>
      <c r="Y107" s="7" t="str">
        <f>IF(WEEKDAY(Marketing!$D107,2)&lt;6,"Weekday","Weekend")</f>
        <v>Weekday</v>
      </c>
    </row>
    <row r="108" spans="1:25" x14ac:dyDescent="0.35">
      <c r="A108" s="5">
        <v>107</v>
      </c>
      <c r="B108" s="5" t="str">
        <f>TEXT(Marketing!$D108,"MMMM")</f>
        <v>February</v>
      </c>
      <c r="C108" s="5" t="str">
        <f>TEXT(Marketing!$D108,"DDDD")</f>
        <v>Wednesday</v>
      </c>
      <c r="D108" s="6">
        <v>44237</v>
      </c>
      <c r="E108" s="5" t="s">
        <v>10</v>
      </c>
      <c r="F108" s="5" t="s">
        <v>2</v>
      </c>
      <c r="G108" s="5">
        <v>4387490</v>
      </c>
      <c r="H108" s="5">
        <v>18399</v>
      </c>
      <c r="I108" s="12">
        <v>12713</v>
      </c>
      <c r="J108" s="5">
        <v>599</v>
      </c>
      <c r="K108" s="5">
        <v>22</v>
      </c>
      <c r="L108" s="5">
        <v>5</v>
      </c>
      <c r="M108" s="12">
        <v>27065</v>
      </c>
      <c r="N108" s="14">
        <v>1.1289231495319751E-2</v>
      </c>
      <c r="O108" s="16">
        <v>3.2556117180281534E-4</v>
      </c>
      <c r="P108" s="18">
        <v>3.6727879799666112E-4</v>
      </c>
      <c r="Q108" s="16">
        <v>2.2727272727272726E-3</v>
      </c>
      <c r="R108" s="12">
        <f>IF(Marketing!$L108=0, 0, Marketing!$M108/Marketing!$L108)</f>
        <v>5413</v>
      </c>
      <c r="S108" s="12">
        <f>IF(Marketing!$J108=0,0,Marketing!$I108/Marketing!$J108)</f>
        <v>21.223706176961603</v>
      </c>
      <c r="T108" s="12">
        <f>IF(Marketing!$K108=0,0,Marketing!$I108/Marketing!$K108)</f>
        <v>577.86363636363637</v>
      </c>
      <c r="U108" s="12">
        <f>Marketing!$M108 - Marketing!$I108</f>
        <v>14352</v>
      </c>
      <c r="V108" s="12">
        <f>IF(Marketing!$L108=0,0,Marketing!$I108/Marketing!$L108)</f>
        <v>2542.6</v>
      </c>
      <c r="W108" s="5" t="str">
        <f>IF(ISNUMBER(SEARCH("tier1",Marketing!$E108)),"Tier 1","Tier 2")</f>
        <v>Tier 2</v>
      </c>
      <c r="X108" s="5" t="str">
        <f t="shared" si="1"/>
        <v>Tier 2</v>
      </c>
      <c r="Y108" s="5" t="str">
        <f>IF(WEEKDAY(Marketing!$D108,2)&lt;6,"Weekday","Weekend")</f>
        <v>Weekday</v>
      </c>
    </row>
    <row r="109" spans="1:25" x14ac:dyDescent="0.35">
      <c r="A109" s="7">
        <v>108</v>
      </c>
      <c r="B109" s="7" t="str">
        <f>TEXT(Marketing!$D109,"MMMM")</f>
        <v>February</v>
      </c>
      <c r="C109" s="7" t="str">
        <f>TEXT(Marketing!$D109,"DDDD")</f>
        <v>Wednesday</v>
      </c>
      <c r="D109" s="8">
        <v>44237</v>
      </c>
      <c r="E109" s="7" t="s">
        <v>11</v>
      </c>
      <c r="F109" s="7" t="s">
        <v>2</v>
      </c>
      <c r="G109" s="7">
        <v>544756</v>
      </c>
      <c r="H109" s="7">
        <v>321713</v>
      </c>
      <c r="I109" s="13">
        <v>131236</v>
      </c>
      <c r="J109" s="7">
        <v>2396</v>
      </c>
      <c r="K109" s="7">
        <v>88</v>
      </c>
      <c r="L109" s="7">
        <v>15</v>
      </c>
      <c r="M109" s="13">
        <v>14715</v>
      </c>
      <c r="N109" s="15">
        <v>-8.8787375415282383E-3</v>
      </c>
      <c r="O109" s="16">
        <v>7.4476318955093507E-5</v>
      </c>
      <c r="P109" s="18">
        <v>3.6727879799666112E-4</v>
      </c>
      <c r="Q109" s="16">
        <v>1.7045454545454545E-3</v>
      </c>
      <c r="R109" s="13">
        <f>IF(Marketing!$L109=0, 0, Marketing!$M109/Marketing!$L109)</f>
        <v>981</v>
      </c>
      <c r="S109" s="13">
        <f>IF(Marketing!$J109=0,0,Marketing!$I109/Marketing!$J109)</f>
        <v>54.772954924874789</v>
      </c>
      <c r="T109" s="13">
        <f>IF(Marketing!$K109=0,0,Marketing!$I109/Marketing!$K109)</f>
        <v>1491.3181818181818</v>
      </c>
      <c r="U109" s="13">
        <f>Marketing!$M109 - Marketing!$I109</f>
        <v>-116521</v>
      </c>
      <c r="V109" s="13">
        <f>IF(Marketing!$L109=0,0,Marketing!$I109/Marketing!$L109)</f>
        <v>8749.0666666666675</v>
      </c>
      <c r="W109" s="7" t="str">
        <f>IF(ISNUMBER(SEARCH("tier1",Marketing!$E109)),"Tier 1","Tier 2")</f>
        <v>Tier 2</v>
      </c>
      <c r="X109" s="7" t="str">
        <f t="shared" si="1"/>
        <v>Tier 2</v>
      </c>
      <c r="Y109" s="7" t="str">
        <f>IF(WEEKDAY(Marketing!$D109,2)&lt;6,"Weekday","Weekend")</f>
        <v>Weekday</v>
      </c>
    </row>
    <row r="110" spans="1:25" x14ac:dyDescent="0.35">
      <c r="A110" s="5">
        <v>109</v>
      </c>
      <c r="B110" s="5" t="str">
        <f>TEXT(Marketing!$D110,"MMMM")</f>
        <v>February</v>
      </c>
      <c r="C110" s="5" t="str">
        <f>TEXT(Marketing!$D110,"DDDD")</f>
        <v>Wednesday</v>
      </c>
      <c r="D110" s="6">
        <v>44237</v>
      </c>
      <c r="E110" s="5" t="s">
        <v>12</v>
      </c>
      <c r="F110" s="5" t="s">
        <v>7</v>
      </c>
      <c r="G110" s="5">
        <v>374754</v>
      </c>
      <c r="H110" s="5">
        <v>489728</v>
      </c>
      <c r="I110" s="12">
        <v>126901</v>
      </c>
      <c r="J110" s="5">
        <v>6005</v>
      </c>
      <c r="K110" s="5">
        <v>187</v>
      </c>
      <c r="L110" s="5">
        <v>34</v>
      </c>
      <c r="M110" s="12">
        <v>143888</v>
      </c>
      <c r="N110" s="14">
        <v>1.3386025326829576E-3</v>
      </c>
      <c r="O110" s="16">
        <v>1.2261908651332984E-4</v>
      </c>
      <c r="P110" s="18">
        <v>3.1140716069941713E-4</v>
      </c>
      <c r="Q110" s="16">
        <v>1.8181818181818182E-3</v>
      </c>
      <c r="R110" s="12">
        <f>IF(Marketing!$L110=0, 0, Marketing!$M110/Marketing!$L110)</f>
        <v>4232</v>
      </c>
      <c r="S110" s="12">
        <f>IF(Marketing!$J110=0,0,Marketing!$I110/Marketing!$J110)</f>
        <v>21.132556203164029</v>
      </c>
      <c r="T110" s="12">
        <f>IF(Marketing!$K110=0,0,Marketing!$I110/Marketing!$K110)</f>
        <v>678.61497326203209</v>
      </c>
      <c r="U110" s="12">
        <f>Marketing!$M110 - Marketing!$I110</f>
        <v>16987</v>
      </c>
      <c r="V110" s="12">
        <f>IF(Marketing!$L110=0,0,Marketing!$I110/Marketing!$L110)</f>
        <v>3732.3823529411766</v>
      </c>
      <c r="W110" s="5" t="str">
        <f>IF(ISNUMBER(SEARCH("tier1",Marketing!$E110)),"Tier 1","Tier 2")</f>
        <v>Tier 2</v>
      </c>
      <c r="X110" s="5" t="str">
        <f t="shared" si="1"/>
        <v>Tier 2</v>
      </c>
      <c r="Y110" s="5" t="str">
        <f>IF(WEEKDAY(Marketing!$D110,2)&lt;6,"Weekday","Weekend")</f>
        <v>Weekday</v>
      </c>
    </row>
    <row r="111" spans="1:25" x14ac:dyDescent="0.35">
      <c r="A111" s="7">
        <v>110</v>
      </c>
      <c r="B111" s="7" t="str">
        <f>TEXT(Marketing!$D111,"MMMM")</f>
        <v>February</v>
      </c>
      <c r="C111" s="7" t="str">
        <f>TEXT(Marketing!$D111,"DDDD")</f>
        <v>Wednesday</v>
      </c>
      <c r="D111" s="8">
        <v>44237</v>
      </c>
      <c r="E111" s="7" t="s">
        <v>13</v>
      </c>
      <c r="F111" s="7" t="s">
        <v>14</v>
      </c>
      <c r="G111" s="7">
        <v>39889</v>
      </c>
      <c r="H111" s="7">
        <v>5219501</v>
      </c>
      <c r="I111" s="13">
        <v>179519</v>
      </c>
      <c r="J111" s="7">
        <v>8391</v>
      </c>
      <c r="K111" s="7">
        <v>302</v>
      </c>
      <c r="L111" s="7">
        <v>60</v>
      </c>
      <c r="M111" s="13">
        <v>196680</v>
      </c>
      <c r="N111" s="15">
        <v>9.55943382037556E-4</v>
      </c>
      <c r="O111" s="16">
        <v>1.6076249434572386E-5</v>
      </c>
      <c r="P111" s="18">
        <v>3.5990942676677394E-4</v>
      </c>
      <c r="Q111" s="16">
        <v>1.9867549668874172E-3</v>
      </c>
      <c r="R111" s="13">
        <f>IF(Marketing!$L111=0, 0, Marketing!$M111/Marketing!$L111)</f>
        <v>3278</v>
      </c>
      <c r="S111" s="13">
        <f>IF(Marketing!$J111=0,0,Marketing!$I111/Marketing!$J111)</f>
        <v>21.394231915147181</v>
      </c>
      <c r="T111" s="13">
        <f>IF(Marketing!$K111=0,0,Marketing!$I111/Marketing!$K111)</f>
        <v>594.43377483443703</v>
      </c>
      <c r="U111" s="13">
        <f>Marketing!$M111 - Marketing!$I111</f>
        <v>17161</v>
      </c>
      <c r="V111" s="13">
        <f>IF(Marketing!$L111=0,0,Marketing!$I111/Marketing!$L111)</f>
        <v>2991.9833333333331</v>
      </c>
      <c r="W111" s="7" t="str">
        <f>IF(ISNUMBER(SEARCH("tier1",Marketing!$E111)),"Tier 1","Tier 2")</f>
        <v>Tier 2</v>
      </c>
      <c r="X111" s="7" t="str">
        <f t="shared" si="1"/>
        <v>Tier 2</v>
      </c>
      <c r="Y111" s="7" t="str">
        <f>IF(WEEKDAY(Marketing!$D111,2)&lt;6,"Weekday","Weekend")</f>
        <v>Weekday</v>
      </c>
    </row>
    <row r="112" spans="1:25" x14ac:dyDescent="0.35">
      <c r="A112" s="5">
        <v>111</v>
      </c>
      <c r="B112" s="5" t="str">
        <f>TEXT(Marketing!$D112,"MMMM")</f>
        <v>February</v>
      </c>
      <c r="C112" s="5" t="str">
        <f>TEXT(Marketing!$D112,"DDDD")</f>
        <v>Thursday</v>
      </c>
      <c r="D112" s="6">
        <v>44238</v>
      </c>
      <c r="E112" s="5" t="s">
        <v>1</v>
      </c>
      <c r="F112" s="5" t="s">
        <v>2</v>
      </c>
      <c r="G112" s="5">
        <v>349043</v>
      </c>
      <c r="H112" s="5">
        <v>1061233</v>
      </c>
      <c r="I112" s="12">
        <v>105681</v>
      </c>
      <c r="J112" s="5">
        <v>7206</v>
      </c>
      <c r="K112" s="5">
        <v>144</v>
      </c>
      <c r="L112" s="5">
        <v>23</v>
      </c>
      <c r="M112" s="12">
        <v>105225</v>
      </c>
      <c r="N112" s="14">
        <v>-4.3148721151389555E-5</v>
      </c>
      <c r="O112" s="16">
        <v>6.7902147784699491E-5</v>
      </c>
      <c r="P112" s="18">
        <v>1.9983347210657785E-4</v>
      </c>
      <c r="Q112" s="16">
        <v>1.5972222222222221E-3</v>
      </c>
      <c r="R112" s="12">
        <f>IF(Marketing!$L112=0, 0, Marketing!$M112/Marketing!$L112)</f>
        <v>4575</v>
      </c>
      <c r="S112" s="12">
        <f>IF(Marketing!$J112=0,0,Marketing!$I112/Marketing!$J112)</f>
        <v>14.665695253955038</v>
      </c>
      <c r="T112" s="12">
        <f>IF(Marketing!$K112=0,0,Marketing!$I112/Marketing!$K112)</f>
        <v>733.89583333333337</v>
      </c>
      <c r="U112" s="12">
        <f>Marketing!$M112 - Marketing!$I112</f>
        <v>-456</v>
      </c>
      <c r="V112" s="12">
        <f>IF(Marketing!$L112=0,0,Marketing!$I112/Marketing!$L112)</f>
        <v>4594.826086956522</v>
      </c>
      <c r="W112" s="5" t="str">
        <f>IF(ISNUMBER(SEARCH("tier1",Marketing!$E112)),"Tier 1","Tier 2")</f>
        <v>Tier 1</v>
      </c>
      <c r="X112" s="5" t="str">
        <f t="shared" si="1"/>
        <v>Tier 1</v>
      </c>
      <c r="Y112" s="5" t="str">
        <f>IF(WEEKDAY(Marketing!$D112,2)&lt;6,"Weekday","Weekend")</f>
        <v>Weekday</v>
      </c>
    </row>
    <row r="113" spans="1:25" x14ac:dyDescent="0.35">
      <c r="A113" s="7">
        <v>112</v>
      </c>
      <c r="B113" s="7" t="str">
        <f>TEXT(Marketing!$D113,"MMMM")</f>
        <v>February</v>
      </c>
      <c r="C113" s="7" t="str">
        <f>TEXT(Marketing!$D113,"DDDD")</f>
        <v>Thursday</v>
      </c>
      <c r="D113" s="8">
        <v>44238</v>
      </c>
      <c r="E113" s="7" t="s">
        <v>67</v>
      </c>
      <c r="F113" s="7" t="s">
        <v>2</v>
      </c>
      <c r="G113" s="7">
        <v>348934</v>
      </c>
      <c r="H113" s="7">
        <v>4564542</v>
      </c>
      <c r="I113" s="13">
        <v>188516</v>
      </c>
      <c r="J113" s="7">
        <v>9895</v>
      </c>
      <c r="K113" s="7">
        <v>304</v>
      </c>
      <c r="L113" s="7">
        <v>28</v>
      </c>
      <c r="M113" s="13">
        <v>131068</v>
      </c>
      <c r="N113" s="15">
        <v>-3.0473805936896605E-3</v>
      </c>
      <c r="O113" s="16">
        <v>2.1677969005433621E-5</v>
      </c>
      <c r="P113" s="18">
        <v>3.0722587165234969E-4</v>
      </c>
      <c r="Q113" s="16">
        <v>9.2105263157894735E-4</v>
      </c>
      <c r="R113" s="13">
        <f>IF(Marketing!$L113=0, 0, Marketing!$M113/Marketing!$L113)</f>
        <v>4681</v>
      </c>
      <c r="S113" s="13">
        <f>IF(Marketing!$J113=0,0,Marketing!$I113/Marketing!$J113)</f>
        <v>19.051642243557353</v>
      </c>
      <c r="T113" s="13">
        <f>IF(Marketing!$K113=0,0,Marketing!$I113/Marketing!$K113)</f>
        <v>620.11842105263156</v>
      </c>
      <c r="U113" s="13">
        <f>Marketing!$M113 - Marketing!$I113</f>
        <v>-57448</v>
      </c>
      <c r="V113" s="13">
        <f>IF(Marketing!$L113=0,0,Marketing!$I113/Marketing!$L113)</f>
        <v>6732.7142857142853</v>
      </c>
      <c r="W113" s="7" t="str">
        <f>IF(ISNUMBER(SEARCH("tier1",Marketing!$E113)),"Tier 1","Tier 2")</f>
        <v>Tier 2</v>
      </c>
      <c r="X113" s="7" t="str">
        <f t="shared" si="1"/>
        <v>Tier 2</v>
      </c>
      <c r="Y113" s="7" t="str">
        <f>IF(WEEKDAY(Marketing!$D113,2)&lt;6,"Weekday","Weekend")</f>
        <v>Weekday</v>
      </c>
    </row>
    <row r="114" spans="1:25" x14ac:dyDescent="0.35">
      <c r="A114" s="5">
        <v>113</v>
      </c>
      <c r="B114" s="5" t="str">
        <f>TEXT(Marketing!$D114,"MMMM")</f>
        <v>February</v>
      </c>
      <c r="C114" s="5" t="str">
        <f>TEXT(Marketing!$D114,"DDDD")</f>
        <v>Thursday</v>
      </c>
      <c r="D114" s="6">
        <v>44238</v>
      </c>
      <c r="E114" s="5" t="s">
        <v>3</v>
      </c>
      <c r="F114" s="5" t="s">
        <v>4</v>
      </c>
      <c r="G114" s="5">
        <v>89459845</v>
      </c>
      <c r="H114" s="5">
        <v>134600</v>
      </c>
      <c r="I114" s="12">
        <v>26220.400000000001</v>
      </c>
      <c r="J114" s="5">
        <v>2692</v>
      </c>
      <c r="K114" s="5">
        <v>54</v>
      </c>
      <c r="L114" s="5">
        <v>6</v>
      </c>
      <c r="M114" s="12">
        <v>48990</v>
      </c>
      <c r="N114" s="14">
        <v>8.6839254931274871E-3</v>
      </c>
      <c r="O114" s="16">
        <v>2.0000000000000001E-4</v>
      </c>
      <c r="P114" s="18">
        <v>2.0059435364041606E-4</v>
      </c>
      <c r="Q114" s="16">
        <v>1.1111111111111111E-3</v>
      </c>
      <c r="R114" s="12">
        <f>IF(Marketing!$L114=0, 0, Marketing!$M114/Marketing!$L114)</f>
        <v>8165</v>
      </c>
      <c r="S114" s="12">
        <f>IF(Marketing!$J114=0,0,Marketing!$I114/Marketing!$J114)</f>
        <v>9.7401188707280841</v>
      </c>
      <c r="T114" s="12">
        <f>IF(Marketing!$K114=0,0,Marketing!$I114/Marketing!$K114)</f>
        <v>485.56296296296301</v>
      </c>
      <c r="U114" s="12">
        <f>Marketing!$M114 - Marketing!$I114</f>
        <v>22769.599999999999</v>
      </c>
      <c r="V114" s="12">
        <f>IF(Marketing!$L114=0,0,Marketing!$I114/Marketing!$L114)</f>
        <v>4370.0666666666666</v>
      </c>
      <c r="W114" s="5" t="str">
        <f>IF(ISNUMBER(SEARCH("tier1",Marketing!$E114)),"Tier 1","Tier 2")</f>
        <v>Tier 2</v>
      </c>
      <c r="X114" s="5" t="str">
        <f t="shared" si="1"/>
        <v>Tier 2</v>
      </c>
      <c r="Y114" s="5" t="str">
        <f>IF(WEEKDAY(Marketing!$D114,2)&lt;6,"Weekday","Weekend")</f>
        <v>Weekday</v>
      </c>
    </row>
    <row r="115" spans="1:25" x14ac:dyDescent="0.35">
      <c r="A115" s="7">
        <v>114</v>
      </c>
      <c r="B115" s="7" t="str">
        <f>TEXT(Marketing!$D115,"MMMM")</f>
        <v>February</v>
      </c>
      <c r="C115" s="7" t="str">
        <f>TEXT(Marketing!$D115,"DDDD")</f>
        <v>Thursday</v>
      </c>
      <c r="D115" s="8">
        <v>44238</v>
      </c>
      <c r="E115" s="7" t="s">
        <v>5</v>
      </c>
      <c r="F115" s="7" t="s">
        <v>4</v>
      </c>
      <c r="G115" s="7">
        <v>127823</v>
      </c>
      <c r="H115" s="7">
        <v>1254537</v>
      </c>
      <c r="I115" s="13">
        <v>51422.5</v>
      </c>
      <c r="J115" s="7">
        <v>7198</v>
      </c>
      <c r="K115" s="7">
        <v>144</v>
      </c>
      <c r="L115" s="7">
        <v>14</v>
      </c>
      <c r="M115" s="13">
        <v>41986</v>
      </c>
      <c r="N115" s="15">
        <v>-1.8350916427633819E-3</v>
      </c>
      <c r="O115" s="16">
        <v>5.7375748981496756E-5</v>
      </c>
      <c r="P115" s="18">
        <v>2.0005557099194219E-4</v>
      </c>
      <c r="Q115" s="16">
        <v>9.7222222222222219E-4</v>
      </c>
      <c r="R115" s="13">
        <f>IF(Marketing!$L115=0, 0, Marketing!$M115/Marketing!$L115)</f>
        <v>2999</v>
      </c>
      <c r="S115" s="13">
        <f>IF(Marketing!$J115=0,0,Marketing!$I115/Marketing!$J115)</f>
        <v>7.1439983328702414</v>
      </c>
      <c r="T115" s="13">
        <f>IF(Marketing!$K115=0,0,Marketing!$I115/Marketing!$K115)</f>
        <v>357.10069444444446</v>
      </c>
      <c r="U115" s="13">
        <f>Marketing!$M115 - Marketing!$I115</f>
        <v>-9436.5</v>
      </c>
      <c r="V115" s="13">
        <f>IF(Marketing!$L115=0,0,Marketing!$I115/Marketing!$L115)</f>
        <v>3673.0357142857142</v>
      </c>
      <c r="W115" s="7" t="str">
        <f>IF(ISNUMBER(SEARCH("tier1",Marketing!$E115)),"Tier 1","Tier 2")</f>
        <v>Tier 2</v>
      </c>
      <c r="X115" s="7" t="str">
        <f t="shared" si="1"/>
        <v>Tier 2</v>
      </c>
      <c r="Y115" s="7" t="str">
        <f>IF(WEEKDAY(Marketing!$D115,2)&lt;6,"Weekday","Weekend")</f>
        <v>Weekday</v>
      </c>
    </row>
    <row r="116" spans="1:25" x14ac:dyDescent="0.35">
      <c r="A116" s="5">
        <v>115</v>
      </c>
      <c r="B116" s="5" t="str">
        <f>TEXT(Marketing!$D116,"MMMM")</f>
        <v>February</v>
      </c>
      <c r="C116" s="5" t="str">
        <f>TEXT(Marketing!$D116,"DDDD")</f>
        <v>Thursday</v>
      </c>
      <c r="D116" s="6">
        <v>44238</v>
      </c>
      <c r="E116" s="5" t="s">
        <v>6</v>
      </c>
      <c r="F116" s="5" t="s">
        <v>7</v>
      </c>
      <c r="G116" s="5">
        <v>10934</v>
      </c>
      <c r="H116" s="5">
        <v>1210466</v>
      </c>
      <c r="I116" s="12">
        <v>197161</v>
      </c>
      <c r="J116" s="5">
        <v>13506</v>
      </c>
      <c r="K116" s="5">
        <v>474</v>
      </c>
      <c r="L116" s="5">
        <v>95</v>
      </c>
      <c r="M116" s="12">
        <v>831820</v>
      </c>
      <c r="N116" s="14">
        <v>3.2189885423587826E-2</v>
      </c>
      <c r="O116" s="16">
        <v>1.1157686378634344E-4</v>
      </c>
      <c r="P116" s="18">
        <v>3.5095513105286541E-4</v>
      </c>
      <c r="Q116" s="16">
        <v>2.0042194092827004E-3</v>
      </c>
      <c r="R116" s="12">
        <f>IF(Marketing!$L116=0, 0, Marketing!$M116/Marketing!$L116)</f>
        <v>8756</v>
      </c>
      <c r="S116" s="12">
        <f>IF(Marketing!$J116=0,0,Marketing!$I116/Marketing!$J116)</f>
        <v>14.598030504960759</v>
      </c>
      <c r="T116" s="12">
        <f>IF(Marketing!$K116=0,0,Marketing!$I116/Marketing!$K116)</f>
        <v>415.95147679324896</v>
      </c>
      <c r="U116" s="12">
        <f>Marketing!$M116 - Marketing!$I116</f>
        <v>634659</v>
      </c>
      <c r="V116" s="12">
        <f>IF(Marketing!$L116=0,0,Marketing!$I116/Marketing!$L116)</f>
        <v>2075.378947368421</v>
      </c>
      <c r="W116" s="5" t="str">
        <f>IF(ISNUMBER(SEARCH("tier1",Marketing!$E116)),"Tier 1","Tier 2")</f>
        <v>Tier 2</v>
      </c>
      <c r="X116" s="5" t="str">
        <f t="shared" si="1"/>
        <v>Tier 2</v>
      </c>
      <c r="Y116" s="5" t="str">
        <f>IF(WEEKDAY(Marketing!$D116,2)&lt;6,"Weekday","Weekend")</f>
        <v>Weekday</v>
      </c>
    </row>
    <row r="117" spans="1:25" x14ac:dyDescent="0.35">
      <c r="A117" s="7">
        <v>116</v>
      </c>
      <c r="B117" s="7" t="str">
        <f>TEXT(Marketing!$D117,"MMMM")</f>
        <v>February</v>
      </c>
      <c r="C117" s="7" t="str">
        <f>TEXT(Marketing!$D117,"DDDD")</f>
        <v>Thursday</v>
      </c>
      <c r="D117" s="8">
        <v>44238</v>
      </c>
      <c r="E117" s="7" t="s">
        <v>8</v>
      </c>
      <c r="F117" s="7" t="s">
        <v>2</v>
      </c>
      <c r="G117" s="7">
        <v>9034945</v>
      </c>
      <c r="H117" s="7">
        <v>2224531</v>
      </c>
      <c r="I117" s="13">
        <v>348.99</v>
      </c>
      <c r="J117" s="7">
        <v>8106</v>
      </c>
      <c r="K117" s="7">
        <v>1</v>
      </c>
      <c r="L117" s="7">
        <v>0</v>
      </c>
      <c r="M117" s="13">
        <v>0</v>
      </c>
      <c r="N117" s="15">
        <v>-0.01</v>
      </c>
      <c r="O117" s="16">
        <v>3.6439141553882597E-5</v>
      </c>
      <c r="P117" s="18">
        <v>1.2336540833950161E-6</v>
      </c>
      <c r="Q117" s="16">
        <v>0</v>
      </c>
      <c r="R117" s="13">
        <f>IF(Marketing!$L117=0, 0, Marketing!$M117/Marketing!$L117)</f>
        <v>0</v>
      </c>
      <c r="S117" s="13">
        <f>IF(Marketing!$J117=0,0,Marketing!$I117/Marketing!$J117)</f>
        <v>4.3053293856402663E-2</v>
      </c>
      <c r="T117" s="13">
        <f>IF(Marketing!$K117=0,0,Marketing!$I117/Marketing!$K117)</f>
        <v>348.99</v>
      </c>
      <c r="U117" s="13">
        <f>Marketing!$M117 - Marketing!$I117</f>
        <v>-348.99</v>
      </c>
      <c r="V117" s="13">
        <f>IF(Marketing!$L117=0,0,Marketing!$I117/Marketing!$L117)</f>
        <v>0</v>
      </c>
      <c r="W117" s="7" t="str">
        <f>IF(ISNUMBER(SEARCH("tier1",Marketing!$E117)),"Tier 1","Tier 2")</f>
        <v>Tier 1</v>
      </c>
      <c r="X117" s="7" t="str">
        <f t="shared" si="1"/>
        <v>Tier 1</v>
      </c>
      <c r="Y117" s="7" t="str">
        <f>IF(WEEKDAY(Marketing!$D117,2)&lt;6,"Weekday","Weekend")</f>
        <v>Weekday</v>
      </c>
    </row>
    <row r="118" spans="1:25" x14ac:dyDescent="0.35">
      <c r="A118" s="5">
        <v>117</v>
      </c>
      <c r="B118" s="5" t="str">
        <f>TEXT(Marketing!$D118,"MMMM")</f>
        <v>February</v>
      </c>
      <c r="C118" s="5" t="str">
        <f>TEXT(Marketing!$D118,"DDDD")</f>
        <v>Thursday</v>
      </c>
      <c r="D118" s="6">
        <v>44238</v>
      </c>
      <c r="E118" s="5" t="s">
        <v>9</v>
      </c>
      <c r="F118" s="5" t="s">
        <v>2</v>
      </c>
      <c r="G118" s="5">
        <v>983498</v>
      </c>
      <c r="H118" s="5">
        <v>3058200</v>
      </c>
      <c r="I118" s="12">
        <v>4138.7299999999996</v>
      </c>
      <c r="J118" s="5">
        <v>15291</v>
      </c>
      <c r="K118" s="5">
        <v>114</v>
      </c>
      <c r="L118" s="5">
        <v>1</v>
      </c>
      <c r="M118" s="12">
        <v>2771</v>
      </c>
      <c r="N118" s="14">
        <v>-3.3047094156903197E-3</v>
      </c>
      <c r="O118" s="16">
        <v>5.0000000000000002E-5</v>
      </c>
      <c r="P118" s="18">
        <v>7.4553659015106933E-5</v>
      </c>
      <c r="Q118" s="16">
        <v>8.7719298245614029E-5</v>
      </c>
      <c r="R118" s="12">
        <f>IF(Marketing!$L118=0, 0, Marketing!$M118/Marketing!$L118)</f>
        <v>2771</v>
      </c>
      <c r="S118" s="12">
        <f>IF(Marketing!$J118=0,0,Marketing!$I118/Marketing!$J118)</f>
        <v>0.27066444313648547</v>
      </c>
      <c r="T118" s="12">
        <f>IF(Marketing!$K118=0,0,Marketing!$I118/Marketing!$K118)</f>
        <v>36.304649122807014</v>
      </c>
      <c r="U118" s="12">
        <f>Marketing!$M118 - Marketing!$I118</f>
        <v>-1367.7299999999996</v>
      </c>
      <c r="V118" s="12">
        <f>IF(Marketing!$L118=0,0,Marketing!$I118/Marketing!$L118)</f>
        <v>4138.7299999999996</v>
      </c>
      <c r="W118" s="5" t="str">
        <f>IF(ISNUMBER(SEARCH("tier1",Marketing!$E118)),"Tier 1","Tier 2")</f>
        <v>Tier 2</v>
      </c>
      <c r="X118" s="5" t="str">
        <f t="shared" si="1"/>
        <v>Tier 2</v>
      </c>
      <c r="Y118" s="5" t="str">
        <f>IF(WEEKDAY(Marketing!$D118,2)&lt;6,"Weekday","Weekend")</f>
        <v>Weekday</v>
      </c>
    </row>
    <row r="119" spans="1:25" x14ac:dyDescent="0.35">
      <c r="A119" s="7">
        <v>118</v>
      </c>
      <c r="B119" s="7" t="str">
        <f>TEXT(Marketing!$D119,"MMMM")</f>
        <v>February</v>
      </c>
      <c r="C119" s="7" t="str">
        <f>TEXT(Marketing!$D119,"DDDD")</f>
        <v>Thursday</v>
      </c>
      <c r="D119" s="8">
        <v>44238</v>
      </c>
      <c r="E119" s="7" t="s">
        <v>10</v>
      </c>
      <c r="F119" s="7" t="s">
        <v>2</v>
      </c>
      <c r="G119" s="7">
        <v>4387490</v>
      </c>
      <c r="H119" s="7">
        <v>26774</v>
      </c>
      <c r="I119" s="13">
        <v>17711.099999999999</v>
      </c>
      <c r="J119" s="7">
        <v>893</v>
      </c>
      <c r="K119" s="7">
        <v>27</v>
      </c>
      <c r="L119" s="7">
        <v>6</v>
      </c>
      <c r="M119" s="13">
        <v>29886</v>
      </c>
      <c r="N119" s="15">
        <v>6.8741636600775802E-3</v>
      </c>
      <c r="O119" s="16">
        <v>3.3353253156046913E-4</v>
      </c>
      <c r="P119" s="18">
        <v>3.023516237402016E-4</v>
      </c>
      <c r="Q119" s="16">
        <v>2.2222222222222222E-3</v>
      </c>
      <c r="R119" s="13">
        <f>IF(Marketing!$L119=0, 0, Marketing!$M119/Marketing!$L119)</f>
        <v>4981</v>
      </c>
      <c r="S119" s="13">
        <f>IF(Marketing!$J119=0,0,Marketing!$I119/Marketing!$J119)</f>
        <v>19.833258678611422</v>
      </c>
      <c r="T119" s="13">
        <f>IF(Marketing!$K119=0,0,Marketing!$I119/Marketing!$K119)</f>
        <v>655.96666666666658</v>
      </c>
      <c r="U119" s="13">
        <f>Marketing!$M119 - Marketing!$I119</f>
        <v>12174.900000000001</v>
      </c>
      <c r="V119" s="13">
        <f>IF(Marketing!$L119=0,0,Marketing!$I119/Marketing!$L119)</f>
        <v>2951.85</v>
      </c>
      <c r="W119" s="7" t="str">
        <f>IF(ISNUMBER(SEARCH("tier1",Marketing!$E119)),"Tier 1","Tier 2")</f>
        <v>Tier 2</v>
      </c>
      <c r="X119" s="7" t="str">
        <f t="shared" si="1"/>
        <v>Tier 2</v>
      </c>
      <c r="Y119" s="7" t="str">
        <f>IF(WEEKDAY(Marketing!$D119,2)&lt;6,"Weekday","Weekend")</f>
        <v>Weekday</v>
      </c>
    </row>
    <row r="120" spans="1:25" x14ac:dyDescent="0.35">
      <c r="A120" s="5">
        <v>119</v>
      </c>
      <c r="B120" s="5" t="str">
        <f>TEXT(Marketing!$D120,"MMMM")</f>
        <v>February</v>
      </c>
      <c r="C120" s="5" t="str">
        <f>TEXT(Marketing!$D120,"DDDD")</f>
        <v>Thursday</v>
      </c>
      <c r="D120" s="6">
        <v>44238</v>
      </c>
      <c r="E120" s="5" t="s">
        <v>11</v>
      </c>
      <c r="F120" s="5" t="s">
        <v>2</v>
      </c>
      <c r="G120" s="5">
        <v>544756</v>
      </c>
      <c r="H120" s="5">
        <v>359500</v>
      </c>
      <c r="I120" s="12">
        <v>6171.15</v>
      </c>
      <c r="J120" s="5">
        <v>3595</v>
      </c>
      <c r="K120" s="5">
        <v>5</v>
      </c>
      <c r="L120" s="5">
        <v>1</v>
      </c>
      <c r="M120" s="12">
        <v>677</v>
      </c>
      <c r="N120" s="14">
        <v>-8.9029597400808597E-3</v>
      </c>
      <c r="O120" s="16">
        <v>1E-4</v>
      </c>
      <c r="P120" s="18">
        <v>1.3908205841446452E-5</v>
      </c>
      <c r="Q120" s="16">
        <v>2E-3</v>
      </c>
      <c r="R120" s="12">
        <f>IF(Marketing!$L120=0, 0, Marketing!$M120/Marketing!$L120)</f>
        <v>677</v>
      </c>
      <c r="S120" s="12">
        <f>IF(Marketing!$J120=0,0,Marketing!$I120/Marketing!$J120)</f>
        <v>1.7165924895688456</v>
      </c>
      <c r="T120" s="12">
        <f>IF(Marketing!$K120=0,0,Marketing!$I120/Marketing!$K120)</f>
        <v>1234.23</v>
      </c>
      <c r="U120" s="12">
        <f>Marketing!$M120 - Marketing!$I120</f>
        <v>-5494.15</v>
      </c>
      <c r="V120" s="12">
        <f>IF(Marketing!$L120=0,0,Marketing!$I120/Marketing!$L120)</f>
        <v>6171.15</v>
      </c>
      <c r="W120" s="5" t="str">
        <f>IF(ISNUMBER(SEARCH("tier1",Marketing!$E120)),"Tier 1","Tier 2")</f>
        <v>Tier 2</v>
      </c>
      <c r="X120" s="5" t="str">
        <f t="shared" si="1"/>
        <v>Tier 2</v>
      </c>
      <c r="Y120" s="5" t="str">
        <f>IF(WEEKDAY(Marketing!$D120,2)&lt;6,"Weekday","Weekend")</f>
        <v>Weekday</v>
      </c>
    </row>
    <row r="121" spans="1:25" x14ac:dyDescent="0.35">
      <c r="A121" s="7">
        <v>120</v>
      </c>
      <c r="B121" s="7" t="str">
        <f>TEXT(Marketing!$D121,"MMMM")</f>
        <v>February</v>
      </c>
      <c r="C121" s="7" t="str">
        <f>TEXT(Marketing!$D121,"DDDD")</f>
        <v>Thursday</v>
      </c>
      <c r="D121" s="8">
        <v>44238</v>
      </c>
      <c r="E121" s="7" t="s">
        <v>12</v>
      </c>
      <c r="F121" s="7" t="s">
        <v>7</v>
      </c>
      <c r="G121" s="7">
        <v>374754</v>
      </c>
      <c r="H121" s="7">
        <v>900400</v>
      </c>
      <c r="I121" s="13">
        <v>128751</v>
      </c>
      <c r="J121" s="7">
        <v>9004</v>
      </c>
      <c r="K121" s="7">
        <v>227</v>
      </c>
      <c r="L121" s="7">
        <v>29</v>
      </c>
      <c r="M121" s="13">
        <v>143869</v>
      </c>
      <c r="N121" s="15">
        <v>1.1742044721982743E-3</v>
      </c>
      <c r="O121" s="16">
        <v>1E-4</v>
      </c>
      <c r="P121" s="18">
        <v>2.521101732563305E-4</v>
      </c>
      <c r="Q121" s="16">
        <v>1.2775330396475771E-3</v>
      </c>
      <c r="R121" s="13">
        <f>IF(Marketing!$L121=0, 0, Marketing!$M121/Marketing!$L121)</f>
        <v>4961</v>
      </c>
      <c r="S121" s="13">
        <f>IF(Marketing!$J121=0,0,Marketing!$I121/Marketing!$J121)</f>
        <v>14.299311417147933</v>
      </c>
      <c r="T121" s="13">
        <f>IF(Marketing!$K121=0,0,Marketing!$I121/Marketing!$K121)</f>
        <v>567.18502202643174</v>
      </c>
      <c r="U121" s="13">
        <f>Marketing!$M121 - Marketing!$I121</f>
        <v>15118</v>
      </c>
      <c r="V121" s="13">
        <f>IF(Marketing!$L121=0,0,Marketing!$I121/Marketing!$L121)</f>
        <v>4439.6896551724139</v>
      </c>
      <c r="W121" s="7" t="str">
        <f>IF(ISNUMBER(SEARCH("tier1",Marketing!$E121)),"Tier 1","Tier 2")</f>
        <v>Tier 2</v>
      </c>
      <c r="X121" s="7" t="str">
        <f t="shared" si="1"/>
        <v>Tier 2</v>
      </c>
      <c r="Y121" s="7" t="str">
        <f>IF(WEEKDAY(Marketing!$D121,2)&lt;6,"Weekday","Weekend")</f>
        <v>Weekday</v>
      </c>
    </row>
    <row r="122" spans="1:25" x14ac:dyDescent="0.35">
      <c r="A122" s="5">
        <v>121</v>
      </c>
      <c r="B122" s="5" t="str">
        <f>TEXT(Marketing!$D122,"MMMM")</f>
        <v>February</v>
      </c>
      <c r="C122" s="5" t="str">
        <f>TEXT(Marketing!$D122,"DDDD")</f>
        <v>Thursday</v>
      </c>
      <c r="D122" s="6">
        <v>44238</v>
      </c>
      <c r="E122" s="5" t="s">
        <v>13</v>
      </c>
      <c r="F122" s="5" t="s">
        <v>14</v>
      </c>
      <c r="G122" s="5">
        <v>39889</v>
      </c>
      <c r="H122" s="5">
        <v>5125187</v>
      </c>
      <c r="I122" s="12">
        <v>193124</v>
      </c>
      <c r="J122" s="5">
        <v>12602</v>
      </c>
      <c r="K122" s="5">
        <v>482</v>
      </c>
      <c r="L122" s="5">
        <v>57</v>
      </c>
      <c r="M122" s="12">
        <v>226917</v>
      </c>
      <c r="N122" s="14">
        <v>1.7498084132474474E-3</v>
      </c>
      <c r="O122" s="16">
        <v>2.4588371116995339E-5</v>
      </c>
      <c r="P122" s="18">
        <v>3.8247897159181081E-4</v>
      </c>
      <c r="Q122" s="16">
        <v>1.1825726141078837E-3</v>
      </c>
      <c r="R122" s="12">
        <f>IF(Marketing!$L122=0, 0, Marketing!$M122/Marketing!$L122)</f>
        <v>3981</v>
      </c>
      <c r="S122" s="12">
        <f>IF(Marketing!$J122=0,0,Marketing!$I122/Marketing!$J122)</f>
        <v>15.32486906840184</v>
      </c>
      <c r="T122" s="12">
        <f>IF(Marketing!$K122=0,0,Marketing!$I122/Marketing!$K122)</f>
        <v>400.67219917012449</v>
      </c>
      <c r="U122" s="12">
        <f>Marketing!$M122 - Marketing!$I122</f>
        <v>33793</v>
      </c>
      <c r="V122" s="12">
        <f>IF(Marketing!$L122=0,0,Marketing!$I122/Marketing!$L122)</f>
        <v>3388.1403508771928</v>
      </c>
      <c r="W122" s="5" t="str">
        <f>IF(ISNUMBER(SEARCH("tier1",Marketing!$E122)),"Tier 1","Tier 2")</f>
        <v>Tier 2</v>
      </c>
      <c r="X122" s="5" t="str">
        <f t="shared" si="1"/>
        <v>Tier 2</v>
      </c>
      <c r="Y122" s="5" t="str">
        <f>IF(WEEKDAY(Marketing!$D122,2)&lt;6,"Weekday","Weekend")</f>
        <v>Weekday</v>
      </c>
    </row>
    <row r="123" spans="1:25" x14ac:dyDescent="0.35">
      <c r="A123" s="7">
        <v>122</v>
      </c>
      <c r="B123" s="7" t="str">
        <f>TEXT(Marketing!$D123,"MMMM")</f>
        <v>February</v>
      </c>
      <c r="C123" s="7" t="str">
        <f>TEXT(Marketing!$D123,"DDDD")</f>
        <v>Friday</v>
      </c>
      <c r="D123" s="8">
        <v>44239</v>
      </c>
      <c r="E123" s="7" t="s">
        <v>1</v>
      </c>
      <c r="F123" s="7" t="s">
        <v>2</v>
      </c>
      <c r="G123" s="7">
        <v>349043</v>
      </c>
      <c r="H123" s="7">
        <v>1804868</v>
      </c>
      <c r="I123" s="13">
        <v>110004</v>
      </c>
      <c r="J123" s="7">
        <v>9607</v>
      </c>
      <c r="K123" s="7">
        <v>192</v>
      </c>
      <c r="L123" s="7">
        <v>23</v>
      </c>
      <c r="M123" s="13">
        <v>96163</v>
      </c>
      <c r="N123" s="15">
        <v>-1.2582269735645975E-3</v>
      </c>
      <c r="O123" s="16">
        <v>5.3228269324958947E-5</v>
      </c>
      <c r="P123" s="18">
        <v>1.9985427292599147E-4</v>
      </c>
      <c r="Q123" s="16">
        <v>1.1979166666666668E-3</v>
      </c>
      <c r="R123" s="13">
        <f>IF(Marketing!$L123=0, 0, Marketing!$M123/Marketing!$L123)</f>
        <v>4181</v>
      </c>
      <c r="S123" s="13">
        <f>IF(Marketing!$J123=0,0,Marketing!$I123/Marketing!$J123)</f>
        <v>11.450400749453523</v>
      </c>
      <c r="T123" s="13">
        <f>IF(Marketing!$K123=0,0,Marketing!$I123/Marketing!$K123)</f>
        <v>572.9375</v>
      </c>
      <c r="U123" s="13">
        <f>Marketing!$M123 - Marketing!$I123</f>
        <v>-13841</v>
      </c>
      <c r="V123" s="13">
        <f>IF(Marketing!$L123=0,0,Marketing!$I123/Marketing!$L123)</f>
        <v>4782.782608695652</v>
      </c>
      <c r="W123" s="7" t="str">
        <f>IF(ISNUMBER(SEARCH("tier1",Marketing!$E123)),"Tier 1","Tier 2")</f>
        <v>Tier 1</v>
      </c>
      <c r="X123" s="7" t="str">
        <f t="shared" si="1"/>
        <v>Tier 1</v>
      </c>
      <c r="Y123" s="7" t="str">
        <f>IF(WEEKDAY(Marketing!$D123,2)&lt;6,"Weekday","Weekend")</f>
        <v>Weekday</v>
      </c>
    </row>
    <row r="124" spans="1:25" x14ac:dyDescent="0.35">
      <c r="A124" s="5">
        <v>123</v>
      </c>
      <c r="B124" s="5" t="str">
        <f>TEXT(Marketing!$D124,"MMMM")</f>
        <v>February</v>
      </c>
      <c r="C124" s="5" t="str">
        <f>TEXT(Marketing!$D124,"DDDD")</f>
        <v>Friday</v>
      </c>
      <c r="D124" s="6">
        <v>44239</v>
      </c>
      <c r="E124" s="7" t="s">
        <v>67</v>
      </c>
      <c r="F124" s="5" t="s">
        <v>2</v>
      </c>
      <c r="G124" s="5">
        <v>348934</v>
      </c>
      <c r="H124" s="5">
        <v>2639200</v>
      </c>
      <c r="I124" s="12">
        <v>191722</v>
      </c>
      <c r="J124" s="5">
        <v>13196</v>
      </c>
      <c r="K124" s="5">
        <v>325</v>
      </c>
      <c r="L124" s="5">
        <v>32</v>
      </c>
      <c r="M124" s="12">
        <v>176512</v>
      </c>
      <c r="N124" s="14">
        <v>-7.9333618468407376E-4</v>
      </c>
      <c r="O124" s="16">
        <v>5.0000000000000002E-5</v>
      </c>
      <c r="P124" s="18">
        <v>2.4628675356168535E-4</v>
      </c>
      <c r="Q124" s="16">
        <v>9.8461538461538456E-4</v>
      </c>
      <c r="R124" s="12">
        <f>IF(Marketing!$L124=0, 0, Marketing!$M124/Marketing!$L124)</f>
        <v>5516</v>
      </c>
      <c r="S124" s="12">
        <f>IF(Marketing!$J124=0,0,Marketing!$I124/Marketing!$J124)</f>
        <v>14.528796605031827</v>
      </c>
      <c r="T124" s="12">
        <f>IF(Marketing!$K124=0,0,Marketing!$I124/Marketing!$K124)</f>
        <v>589.91384615384618</v>
      </c>
      <c r="U124" s="12">
        <f>Marketing!$M124 - Marketing!$I124</f>
        <v>-15210</v>
      </c>
      <c r="V124" s="12">
        <f>IF(Marketing!$L124=0,0,Marketing!$I124/Marketing!$L124)</f>
        <v>5991.3125</v>
      </c>
      <c r="W124" s="5" t="str">
        <f>IF(ISNUMBER(SEARCH("tier1",Marketing!$E124)),"Tier 1","Tier 2")</f>
        <v>Tier 2</v>
      </c>
      <c r="X124" s="5" t="str">
        <f t="shared" si="1"/>
        <v>Tier 2</v>
      </c>
      <c r="Y124" s="5" t="str">
        <f>IF(WEEKDAY(Marketing!$D124,2)&lt;6,"Weekday","Weekend")</f>
        <v>Weekday</v>
      </c>
    </row>
    <row r="125" spans="1:25" x14ac:dyDescent="0.35">
      <c r="A125" s="7">
        <v>124</v>
      </c>
      <c r="B125" s="7" t="str">
        <f>TEXT(Marketing!$D125,"MMMM")</f>
        <v>February</v>
      </c>
      <c r="C125" s="7" t="str">
        <f>TEXT(Marketing!$D125,"DDDD")</f>
        <v>Friday</v>
      </c>
      <c r="D125" s="8">
        <v>44239</v>
      </c>
      <c r="E125" s="7" t="s">
        <v>3</v>
      </c>
      <c r="F125" s="7" t="s">
        <v>4</v>
      </c>
      <c r="G125" s="7">
        <v>89459845</v>
      </c>
      <c r="H125" s="7">
        <v>161493</v>
      </c>
      <c r="I125" s="13">
        <v>59745.3</v>
      </c>
      <c r="J125" s="7">
        <v>3602</v>
      </c>
      <c r="K125" s="7">
        <v>72</v>
      </c>
      <c r="L125" s="7">
        <v>14</v>
      </c>
      <c r="M125" s="13">
        <v>122710</v>
      </c>
      <c r="N125" s="15">
        <v>1.0538854102331061E-2</v>
      </c>
      <c r="O125" s="16">
        <v>2.230437232573548E-4</v>
      </c>
      <c r="P125" s="18">
        <v>1.9988895058300942E-4</v>
      </c>
      <c r="Q125" s="16">
        <v>1.9444444444444444E-3</v>
      </c>
      <c r="R125" s="13">
        <f>IF(Marketing!$L125=0, 0, Marketing!$M125/Marketing!$L125)</f>
        <v>8765</v>
      </c>
      <c r="S125" s="13">
        <f>IF(Marketing!$J125=0,0,Marketing!$I125/Marketing!$J125)</f>
        <v>16.586701832315381</v>
      </c>
      <c r="T125" s="13">
        <f>IF(Marketing!$K125=0,0,Marketing!$I125/Marketing!$K125)</f>
        <v>829.79583333333335</v>
      </c>
      <c r="U125" s="13">
        <f>Marketing!$M125 - Marketing!$I125</f>
        <v>62964.7</v>
      </c>
      <c r="V125" s="13">
        <f>IF(Marketing!$L125=0,0,Marketing!$I125/Marketing!$L125)</f>
        <v>4267.5214285714292</v>
      </c>
      <c r="W125" s="7" t="str">
        <f>IF(ISNUMBER(SEARCH("tier1",Marketing!$E125)),"Tier 1","Tier 2")</f>
        <v>Tier 2</v>
      </c>
      <c r="X125" s="7" t="str">
        <f t="shared" si="1"/>
        <v>Tier 2</v>
      </c>
      <c r="Y125" s="7" t="str">
        <f>IF(WEEKDAY(Marketing!$D125,2)&lt;6,"Weekday","Weekend")</f>
        <v>Weekday</v>
      </c>
    </row>
    <row r="126" spans="1:25" x14ac:dyDescent="0.35">
      <c r="A126" s="5">
        <v>125</v>
      </c>
      <c r="B126" s="5" t="str">
        <f>TEXT(Marketing!$D126,"MMMM")</f>
        <v>February</v>
      </c>
      <c r="C126" s="5" t="str">
        <f>TEXT(Marketing!$D126,"DDDD")</f>
        <v>Friday</v>
      </c>
      <c r="D126" s="6">
        <v>44239</v>
      </c>
      <c r="E126" s="5" t="s">
        <v>5</v>
      </c>
      <c r="F126" s="5" t="s">
        <v>4</v>
      </c>
      <c r="G126" s="5">
        <v>127823</v>
      </c>
      <c r="H126" s="5">
        <v>1502383</v>
      </c>
      <c r="I126" s="12">
        <v>86733.1</v>
      </c>
      <c r="J126" s="5">
        <v>9605</v>
      </c>
      <c r="K126" s="5">
        <v>192</v>
      </c>
      <c r="L126" s="5">
        <v>19</v>
      </c>
      <c r="M126" s="12">
        <v>56639</v>
      </c>
      <c r="N126" s="14">
        <v>-3.4697364673924951E-3</v>
      </c>
      <c r="O126" s="16">
        <v>6.39317670660544E-5</v>
      </c>
      <c r="P126" s="18">
        <v>1.9989588755856325E-4</v>
      </c>
      <c r="Q126" s="16">
        <v>9.895833333333332E-4</v>
      </c>
      <c r="R126" s="12">
        <f>IF(Marketing!$L126=0, 0, Marketing!$M126/Marketing!$L126)</f>
        <v>2981</v>
      </c>
      <c r="S126" s="12">
        <f>IF(Marketing!$J126=0,0,Marketing!$I126/Marketing!$J126)</f>
        <v>9.0299947943779291</v>
      </c>
      <c r="T126" s="12">
        <f>IF(Marketing!$K126=0,0,Marketing!$I126/Marketing!$K126)</f>
        <v>451.73489583333338</v>
      </c>
      <c r="U126" s="12">
        <f>Marketing!$M126 - Marketing!$I126</f>
        <v>-30094.100000000006</v>
      </c>
      <c r="V126" s="12">
        <f>IF(Marketing!$L126=0,0,Marketing!$I126/Marketing!$L126)</f>
        <v>4564.9000000000005</v>
      </c>
      <c r="W126" s="5" t="str">
        <f>IF(ISNUMBER(SEARCH("tier1",Marketing!$E126)),"Tier 1","Tier 2")</f>
        <v>Tier 2</v>
      </c>
      <c r="X126" s="5" t="str">
        <f t="shared" si="1"/>
        <v>Tier 2</v>
      </c>
      <c r="Y126" s="5" t="str">
        <f>IF(WEEKDAY(Marketing!$D126,2)&lt;6,"Weekday","Weekend")</f>
        <v>Weekday</v>
      </c>
    </row>
    <row r="127" spans="1:25" x14ac:dyDescent="0.35">
      <c r="A127" s="7">
        <v>126</v>
      </c>
      <c r="B127" s="7" t="str">
        <f>TEXT(Marketing!$D127,"MMMM")</f>
        <v>February</v>
      </c>
      <c r="C127" s="7" t="str">
        <f>TEXT(Marketing!$D127,"DDDD")</f>
        <v>Friday</v>
      </c>
      <c r="D127" s="8">
        <v>44239</v>
      </c>
      <c r="E127" s="7" t="s">
        <v>6</v>
      </c>
      <c r="F127" s="7" t="s">
        <v>7</v>
      </c>
      <c r="G127" s="7">
        <v>10934</v>
      </c>
      <c r="H127" s="7">
        <v>1299708</v>
      </c>
      <c r="I127" s="13">
        <v>121652</v>
      </c>
      <c r="J127" s="7">
        <v>17994</v>
      </c>
      <c r="K127" s="7">
        <v>378</v>
      </c>
      <c r="L127" s="7">
        <v>61</v>
      </c>
      <c r="M127" s="13">
        <v>486841</v>
      </c>
      <c r="N127" s="15">
        <v>3.0019152993785551E-2</v>
      </c>
      <c r="O127" s="16">
        <v>1.3844648182514841E-4</v>
      </c>
      <c r="P127" s="18">
        <v>2.1007002334111371E-4</v>
      </c>
      <c r="Q127" s="16">
        <v>1.6137566137566137E-3</v>
      </c>
      <c r="R127" s="13">
        <f>IF(Marketing!$L127=0, 0, Marketing!$M127/Marketing!$L127)</f>
        <v>7981</v>
      </c>
      <c r="S127" s="13">
        <f>IF(Marketing!$J127=0,0,Marketing!$I127/Marketing!$J127)</f>
        <v>6.7606980104479275</v>
      </c>
      <c r="T127" s="13">
        <f>IF(Marketing!$K127=0,0,Marketing!$I127/Marketing!$K127)</f>
        <v>321.83068783068785</v>
      </c>
      <c r="U127" s="13">
        <f>Marketing!$M127 - Marketing!$I127</f>
        <v>365189</v>
      </c>
      <c r="V127" s="13">
        <f>IF(Marketing!$L127=0,0,Marketing!$I127/Marketing!$L127)</f>
        <v>1994.295081967213</v>
      </c>
      <c r="W127" s="7" t="str">
        <f>IF(ISNUMBER(SEARCH("tier1",Marketing!$E127)),"Tier 1","Tier 2")</f>
        <v>Tier 2</v>
      </c>
      <c r="X127" s="7" t="str">
        <f t="shared" si="1"/>
        <v>Tier 2</v>
      </c>
      <c r="Y127" s="7" t="str">
        <f>IF(WEEKDAY(Marketing!$D127,2)&lt;6,"Weekday","Weekend")</f>
        <v>Weekday</v>
      </c>
    </row>
    <row r="128" spans="1:25" x14ac:dyDescent="0.35">
      <c r="A128" s="5">
        <v>127</v>
      </c>
      <c r="B128" s="5" t="str">
        <f>TEXT(Marketing!$D128,"MMMM")</f>
        <v>February</v>
      </c>
      <c r="C128" s="5" t="str">
        <f>TEXT(Marketing!$D128,"DDDD")</f>
        <v>Friday</v>
      </c>
      <c r="D128" s="6">
        <v>44239</v>
      </c>
      <c r="E128" s="5" t="s">
        <v>8</v>
      </c>
      <c r="F128" s="5" t="s">
        <v>2</v>
      </c>
      <c r="G128" s="5">
        <v>9034945</v>
      </c>
      <c r="H128" s="5">
        <v>3735390</v>
      </c>
      <c r="I128" s="12">
        <v>26659.9</v>
      </c>
      <c r="J128" s="5">
        <v>10806</v>
      </c>
      <c r="K128" s="5">
        <v>115</v>
      </c>
      <c r="L128" s="5">
        <v>9</v>
      </c>
      <c r="M128" s="12">
        <v>53523</v>
      </c>
      <c r="N128" s="14">
        <v>1.007621934065769E-2</v>
      </c>
      <c r="O128" s="16">
        <v>2.8928706239509126E-5</v>
      </c>
      <c r="P128" s="18">
        <v>1.0642235794928743E-4</v>
      </c>
      <c r="Q128" s="16">
        <v>7.8260869565217395E-4</v>
      </c>
      <c r="R128" s="12">
        <f>IF(Marketing!$L128=0, 0, Marketing!$M128/Marketing!$L128)</f>
        <v>5947</v>
      </c>
      <c r="S128" s="12">
        <f>IF(Marketing!$J128=0,0,Marketing!$I128/Marketing!$J128)</f>
        <v>2.4671386266888766</v>
      </c>
      <c r="T128" s="12">
        <f>IF(Marketing!$K128=0,0,Marketing!$I128/Marketing!$K128)</f>
        <v>231.82521739130436</v>
      </c>
      <c r="U128" s="12">
        <f>Marketing!$M128 - Marketing!$I128</f>
        <v>26863.1</v>
      </c>
      <c r="V128" s="12">
        <f>IF(Marketing!$L128=0,0,Marketing!$I128/Marketing!$L128)</f>
        <v>2962.2111111111112</v>
      </c>
      <c r="W128" s="5" t="str">
        <f>IF(ISNUMBER(SEARCH("tier1",Marketing!$E128)),"Tier 1","Tier 2")</f>
        <v>Tier 1</v>
      </c>
      <c r="X128" s="5" t="str">
        <f t="shared" si="1"/>
        <v>Tier 1</v>
      </c>
      <c r="Y128" s="5" t="str">
        <f>IF(WEEKDAY(Marketing!$D128,2)&lt;6,"Weekday","Weekend")</f>
        <v>Weekday</v>
      </c>
    </row>
    <row r="129" spans="1:25" x14ac:dyDescent="0.35">
      <c r="A129" s="7">
        <v>128</v>
      </c>
      <c r="B129" s="7" t="str">
        <f>TEXT(Marketing!$D129,"MMMM")</f>
        <v>February</v>
      </c>
      <c r="C129" s="7" t="str">
        <f>TEXT(Marketing!$D129,"DDDD")</f>
        <v>Friday</v>
      </c>
      <c r="D129" s="8">
        <v>44239</v>
      </c>
      <c r="E129" s="7" t="s">
        <v>9</v>
      </c>
      <c r="F129" s="7" t="s">
        <v>2</v>
      </c>
      <c r="G129" s="7">
        <v>983498</v>
      </c>
      <c r="H129" s="7">
        <v>7156880</v>
      </c>
      <c r="I129" s="13">
        <v>49060.3</v>
      </c>
      <c r="J129" s="7">
        <v>20391</v>
      </c>
      <c r="K129" s="7">
        <v>408</v>
      </c>
      <c r="L129" s="7">
        <v>15</v>
      </c>
      <c r="M129" s="13">
        <v>29715</v>
      </c>
      <c r="N129" s="15">
        <v>-3.9431678974649574E-3</v>
      </c>
      <c r="O129" s="16">
        <v>2.8491465554822773E-5</v>
      </c>
      <c r="P129" s="18">
        <v>2.0008827423863469E-4</v>
      </c>
      <c r="Q129" s="16">
        <v>3.6764705882352941E-4</v>
      </c>
      <c r="R129" s="13">
        <f>IF(Marketing!$L129=0, 0, Marketing!$M129/Marketing!$L129)</f>
        <v>1981</v>
      </c>
      <c r="S129" s="13">
        <f>IF(Marketing!$J129=0,0,Marketing!$I129/Marketing!$J129)</f>
        <v>2.4059781276053163</v>
      </c>
      <c r="T129" s="13">
        <f>IF(Marketing!$K129=0,0,Marketing!$I129/Marketing!$K129)</f>
        <v>120.24583333333334</v>
      </c>
      <c r="U129" s="13">
        <f>Marketing!$M129 - Marketing!$I129</f>
        <v>-19345.300000000003</v>
      </c>
      <c r="V129" s="13">
        <f>IF(Marketing!$L129=0,0,Marketing!$I129/Marketing!$L129)</f>
        <v>3270.686666666667</v>
      </c>
      <c r="W129" s="7" t="str">
        <f>IF(ISNUMBER(SEARCH("tier1",Marketing!$E129)),"Tier 1","Tier 2")</f>
        <v>Tier 2</v>
      </c>
      <c r="X129" s="7" t="str">
        <f t="shared" si="1"/>
        <v>Tier 2</v>
      </c>
      <c r="Y129" s="7" t="str">
        <f>IF(WEEKDAY(Marketing!$D129,2)&lt;6,"Weekday","Weekend")</f>
        <v>Weekday</v>
      </c>
    </row>
    <row r="130" spans="1:25" x14ac:dyDescent="0.35">
      <c r="A130" s="5">
        <v>129</v>
      </c>
      <c r="B130" s="5" t="str">
        <f>TEXT(Marketing!$D130,"MMMM")</f>
        <v>February</v>
      </c>
      <c r="C130" s="5" t="str">
        <f>TEXT(Marketing!$D130,"DDDD")</f>
        <v>Friday</v>
      </c>
      <c r="D130" s="6">
        <v>44239</v>
      </c>
      <c r="E130" s="5" t="s">
        <v>10</v>
      </c>
      <c r="F130" s="5" t="s">
        <v>2</v>
      </c>
      <c r="G130" s="5">
        <v>4387490</v>
      </c>
      <c r="H130" s="5">
        <v>42587</v>
      </c>
      <c r="I130" s="12">
        <v>11278.3</v>
      </c>
      <c r="J130" s="5">
        <v>1207</v>
      </c>
      <c r="K130" s="5">
        <v>34</v>
      </c>
      <c r="L130" s="5">
        <v>8</v>
      </c>
      <c r="M130" s="12">
        <v>39848</v>
      </c>
      <c r="N130" s="14">
        <v>2.5331565927489072E-2</v>
      </c>
      <c r="O130" s="16">
        <v>2.8341982295066571E-4</v>
      </c>
      <c r="P130" s="18">
        <v>2.8169014084507044E-4</v>
      </c>
      <c r="Q130" s="16">
        <v>2.352941176470588E-3</v>
      </c>
      <c r="R130" s="12">
        <f>IF(Marketing!$L130=0, 0, Marketing!$M130/Marketing!$L130)</f>
        <v>4981</v>
      </c>
      <c r="S130" s="12">
        <f>IF(Marketing!$J130=0,0,Marketing!$I130/Marketing!$J130)</f>
        <v>9.3440762220381099</v>
      </c>
      <c r="T130" s="12">
        <f>IF(Marketing!$K130=0,0,Marketing!$I130/Marketing!$K130)</f>
        <v>331.71470588235292</v>
      </c>
      <c r="U130" s="12">
        <f>Marketing!$M130 - Marketing!$I130</f>
        <v>28569.7</v>
      </c>
      <c r="V130" s="12">
        <f>IF(Marketing!$L130=0,0,Marketing!$I130/Marketing!$L130)</f>
        <v>1409.7874999999999</v>
      </c>
      <c r="W130" s="5" t="str">
        <f>IF(ISNUMBER(SEARCH("tier1",Marketing!$E130)),"Tier 1","Tier 2")</f>
        <v>Tier 2</v>
      </c>
      <c r="X130" s="5" t="str">
        <f t="shared" ref="X130:X193" si="2">IF(ISNUMBER(SEARCH("tier1", E130)), "Tier 1", IF(ISNUMBER(SEARCH("tier2", E130)), "Tier 2", "Tier 2"))</f>
        <v>Tier 2</v>
      </c>
      <c r="Y130" s="5" t="str">
        <f>IF(WEEKDAY(Marketing!$D130,2)&lt;6,"Weekday","Weekend")</f>
        <v>Weekday</v>
      </c>
    </row>
    <row r="131" spans="1:25" x14ac:dyDescent="0.35">
      <c r="A131" s="7">
        <v>130</v>
      </c>
      <c r="B131" s="7" t="str">
        <f>TEXT(Marketing!$D131,"MMMM")</f>
        <v>February</v>
      </c>
      <c r="C131" s="7" t="str">
        <f>TEXT(Marketing!$D131,"DDDD")</f>
        <v>Friday</v>
      </c>
      <c r="D131" s="8">
        <v>44239</v>
      </c>
      <c r="E131" s="7" t="s">
        <v>11</v>
      </c>
      <c r="F131" s="7" t="s">
        <v>2</v>
      </c>
      <c r="G131" s="7">
        <v>544756</v>
      </c>
      <c r="H131" s="7">
        <v>480000</v>
      </c>
      <c r="I131" s="13">
        <v>44580.9</v>
      </c>
      <c r="J131" s="7">
        <v>4800</v>
      </c>
      <c r="K131" s="7">
        <v>33</v>
      </c>
      <c r="L131" s="7">
        <v>5</v>
      </c>
      <c r="M131" s="13">
        <v>6945</v>
      </c>
      <c r="N131" s="15">
        <v>-8.4421579645094641E-3</v>
      </c>
      <c r="O131" s="16">
        <v>1E-4</v>
      </c>
      <c r="P131" s="18">
        <v>6.8750000000000004E-5</v>
      </c>
      <c r="Q131" s="16">
        <v>1.5151515151515152E-3</v>
      </c>
      <c r="R131" s="13">
        <f>IF(Marketing!$L131=0, 0, Marketing!$M131/Marketing!$L131)</f>
        <v>1389</v>
      </c>
      <c r="S131" s="13">
        <f>IF(Marketing!$J131=0,0,Marketing!$I131/Marketing!$J131)</f>
        <v>9.2876875000000005</v>
      </c>
      <c r="T131" s="13">
        <f>IF(Marketing!$K131=0,0,Marketing!$I131/Marketing!$K131)</f>
        <v>1350.9363636363637</v>
      </c>
      <c r="U131" s="13">
        <f>Marketing!$M131 - Marketing!$I131</f>
        <v>-37635.9</v>
      </c>
      <c r="V131" s="13">
        <f>IF(Marketing!$L131=0,0,Marketing!$I131/Marketing!$L131)</f>
        <v>8916.18</v>
      </c>
      <c r="W131" s="7" t="str">
        <f>IF(ISNUMBER(SEARCH("tier1",Marketing!$E131)),"Tier 1","Tier 2")</f>
        <v>Tier 2</v>
      </c>
      <c r="X131" s="7" t="str">
        <f t="shared" si="2"/>
        <v>Tier 2</v>
      </c>
      <c r="Y131" s="7" t="str">
        <f>IF(WEEKDAY(Marketing!$D131,2)&lt;6,"Weekday","Weekend")</f>
        <v>Weekday</v>
      </c>
    </row>
    <row r="132" spans="1:25" x14ac:dyDescent="0.35">
      <c r="A132" s="5">
        <v>131</v>
      </c>
      <c r="B132" s="5" t="str">
        <f>TEXT(Marketing!$D132,"MMMM")</f>
        <v>February</v>
      </c>
      <c r="C132" s="5" t="str">
        <f>TEXT(Marketing!$D132,"DDDD")</f>
        <v>Friday</v>
      </c>
      <c r="D132" s="6">
        <v>44239</v>
      </c>
      <c r="E132" s="5" t="s">
        <v>12</v>
      </c>
      <c r="F132" s="5" t="s">
        <v>7</v>
      </c>
      <c r="G132" s="5">
        <v>374754</v>
      </c>
      <c r="H132" s="5">
        <v>1200300</v>
      </c>
      <c r="I132" s="12">
        <v>308572</v>
      </c>
      <c r="J132" s="5">
        <v>12003</v>
      </c>
      <c r="K132" s="5">
        <v>412</v>
      </c>
      <c r="L132" s="5">
        <v>79</v>
      </c>
      <c r="M132" s="12">
        <v>393499</v>
      </c>
      <c r="N132" s="14">
        <v>2.7522587921133481E-3</v>
      </c>
      <c r="O132" s="16">
        <v>1E-4</v>
      </c>
      <c r="P132" s="18">
        <v>3.4324752145297008E-4</v>
      </c>
      <c r="Q132" s="16">
        <v>1.9174757281553397E-3</v>
      </c>
      <c r="R132" s="12">
        <f>IF(Marketing!$L132=0, 0, Marketing!$M132/Marketing!$L132)</f>
        <v>4981</v>
      </c>
      <c r="S132" s="12">
        <f>IF(Marketing!$J132=0,0,Marketing!$I132/Marketing!$J132)</f>
        <v>25.707906356744147</v>
      </c>
      <c r="T132" s="12">
        <f>IF(Marketing!$K132=0,0,Marketing!$I132/Marketing!$K132)</f>
        <v>748.96116504854365</v>
      </c>
      <c r="U132" s="12">
        <f>Marketing!$M132 - Marketing!$I132</f>
        <v>84927</v>
      </c>
      <c r="V132" s="12">
        <f>IF(Marketing!$L132=0,0,Marketing!$I132/Marketing!$L132)</f>
        <v>3905.9746835443038</v>
      </c>
      <c r="W132" s="5" t="str">
        <f>IF(ISNUMBER(SEARCH("tier1",Marketing!$E132)),"Tier 1","Tier 2")</f>
        <v>Tier 2</v>
      </c>
      <c r="X132" s="5" t="str">
        <f t="shared" si="2"/>
        <v>Tier 2</v>
      </c>
      <c r="Y132" s="5" t="str">
        <f>IF(WEEKDAY(Marketing!$D132,2)&lt;6,"Weekday","Weekend")</f>
        <v>Weekday</v>
      </c>
    </row>
    <row r="133" spans="1:25" x14ac:dyDescent="0.35">
      <c r="A133" s="7">
        <v>132</v>
      </c>
      <c r="B133" s="7" t="str">
        <f>TEXT(Marketing!$D133,"MMMM")</f>
        <v>February</v>
      </c>
      <c r="C133" s="7" t="str">
        <f>TEXT(Marketing!$D133,"DDDD")</f>
        <v>Friday</v>
      </c>
      <c r="D133" s="8">
        <v>44239</v>
      </c>
      <c r="E133" s="7" t="s">
        <v>13</v>
      </c>
      <c r="F133" s="7" t="s">
        <v>14</v>
      </c>
      <c r="G133" s="7">
        <v>39889</v>
      </c>
      <c r="H133" s="7">
        <v>10819771</v>
      </c>
      <c r="I133" s="13">
        <v>145201</v>
      </c>
      <c r="J133" s="7">
        <v>16808</v>
      </c>
      <c r="K133" s="7">
        <v>336</v>
      </c>
      <c r="L133" s="7">
        <v>49</v>
      </c>
      <c r="M133" s="13">
        <v>195069</v>
      </c>
      <c r="N133" s="15">
        <v>3.434411608735477E-3</v>
      </c>
      <c r="O133" s="16">
        <v>1.5534524714062802E-5</v>
      </c>
      <c r="P133" s="18">
        <v>1.9990480723465015E-4</v>
      </c>
      <c r="Q133" s="16">
        <v>1.4583333333333334E-3</v>
      </c>
      <c r="R133" s="13">
        <f>IF(Marketing!$L133=0, 0, Marketing!$M133/Marketing!$L133)</f>
        <v>3981</v>
      </c>
      <c r="S133" s="13">
        <f>IF(Marketing!$J133=0,0,Marketing!$I133/Marketing!$J133)</f>
        <v>8.6388029509757267</v>
      </c>
      <c r="T133" s="13">
        <f>IF(Marketing!$K133=0,0,Marketing!$I133/Marketing!$K133)</f>
        <v>432.14583333333331</v>
      </c>
      <c r="U133" s="13">
        <f>Marketing!$M133 - Marketing!$I133</f>
        <v>49868</v>
      </c>
      <c r="V133" s="13">
        <f>IF(Marketing!$L133=0,0,Marketing!$I133/Marketing!$L133)</f>
        <v>2963.2857142857142</v>
      </c>
      <c r="W133" s="7" t="str">
        <f>IF(ISNUMBER(SEARCH("tier1",Marketing!$E133)),"Tier 1","Tier 2")</f>
        <v>Tier 2</v>
      </c>
      <c r="X133" s="7" t="str">
        <f t="shared" si="2"/>
        <v>Tier 2</v>
      </c>
      <c r="Y133" s="7" t="str">
        <f>IF(WEEKDAY(Marketing!$D133,2)&lt;6,"Weekday","Weekend")</f>
        <v>Weekday</v>
      </c>
    </row>
    <row r="134" spans="1:25" x14ac:dyDescent="0.35">
      <c r="A134" s="5">
        <v>133</v>
      </c>
      <c r="B134" s="5" t="str">
        <f>TEXT(Marketing!$D134,"MMMM")</f>
        <v>February</v>
      </c>
      <c r="C134" s="5" t="str">
        <f>TEXT(Marketing!$D134,"DDDD")</f>
        <v>Saturday</v>
      </c>
      <c r="D134" s="6">
        <v>44240</v>
      </c>
      <c r="E134" s="5" t="s">
        <v>1</v>
      </c>
      <c r="F134" s="5" t="s">
        <v>2</v>
      </c>
      <c r="G134" s="5">
        <v>349043</v>
      </c>
      <c r="H134" s="5">
        <v>1496322</v>
      </c>
      <c r="I134" s="12">
        <v>308692</v>
      </c>
      <c r="J134" s="5">
        <v>11990</v>
      </c>
      <c r="K134" s="5">
        <v>397</v>
      </c>
      <c r="L134" s="5">
        <v>60</v>
      </c>
      <c r="M134" s="12">
        <v>341880</v>
      </c>
      <c r="N134" s="14">
        <v>1.0751169450455471E-3</v>
      </c>
      <c r="O134" s="16">
        <v>8.012981163145366E-5</v>
      </c>
      <c r="P134" s="18">
        <v>3.311092577147623E-4</v>
      </c>
      <c r="Q134" s="16">
        <v>1.5113350125944586E-3</v>
      </c>
      <c r="R134" s="12">
        <f>IF(Marketing!$L134=0, 0, Marketing!$M134/Marketing!$L134)</f>
        <v>5698</v>
      </c>
      <c r="S134" s="12">
        <f>IF(Marketing!$J134=0,0,Marketing!$I134/Marketing!$J134)</f>
        <v>25.745788156797332</v>
      </c>
      <c r="T134" s="12">
        <f>IF(Marketing!$K134=0,0,Marketing!$I134/Marketing!$K134)</f>
        <v>777.56171284634763</v>
      </c>
      <c r="U134" s="12">
        <f>Marketing!$M134 - Marketing!$I134</f>
        <v>33188</v>
      </c>
      <c r="V134" s="12">
        <f>IF(Marketing!$L134=0,0,Marketing!$I134/Marketing!$L134)</f>
        <v>5144.8666666666668</v>
      </c>
      <c r="W134" s="5" t="str">
        <f>IF(ISNUMBER(SEARCH("tier1",Marketing!$E134)),"Tier 1","Tier 2")</f>
        <v>Tier 1</v>
      </c>
      <c r="X134" s="5" t="str">
        <f t="shared" si="2"/>
        <v>Tier 1</v>
      </c>
      <c r="Y134" s="5" t="str">
        <f>IF(WEEKDAY(Marketing!$D134,2)&lt;6,"Weekday","Weekend")</f>
        <v>Weekend</v>
      </c>
    </row>
    <row r="135" spans="1:25" x14ac:dyDescent="0.35">
      <c r="A135" s="7">
        <v>134</v>
      </c>
      <c r="B135" s="7" t="str">
        <f>TEXT(Marketing!$D135,"MMMM")</f>
        <v>February</v>
      </c>
      <c r="C135" s="7" t="str">
        <f>TEXT(Marketing!$D135,"DDDD")</f>
        <v>Saturday</v>
      </c>
      <c r="D135" s="8">
        <v>44240</v>
      </c>
      <c r="E135" s="7" t="s">
        <v>67</v>
      </c>
      <c r="F135" s="7" t="s">
        <v>2</v>
      </c>
      <c r="G135" s="7">
        <v>348934</v>
      </c>
      <c r="H135" s="7">
        <v>2358224</v>
      </c>
      <c r="I135" s="13">
        <v>325444</v>
      </c>
      <c r="J135" s="7">
        <v>16506</v>
      </c>
      <c r="K135" s="7">
        <v>655</v>
      </c>
      <c r="L135" s="7">
        <v>52</v>
      </c>
      <c r="M135" s="13">
        <v>262184</v>
      </c>
      <c r="N135" s="15">
        <v>-1.9438060004178905E-3</v>
      </c>
      <c r="O135" s="16">
        <v>6.9993350928495348E-5</v>
      </c>
      <c r="P135" s="18">
        <v>3.9682539682539683E-4</v>
      </c>
      <c r="Q135" s="16">
        <v>7.938931297709924E-4</v>
      </c>
      <c r="R135" s="13">
        <f>IF(Marketing!$L135=0, 0, Marketing!$M135/Marketing!$L135)</f>
        <v>5042</v>
      </c>
      <c r="S135" s="13">
        <f>IF(Marketing!$J135=0,0,Marketing!$I135/Marketing!$J135)</f>
        <v>19.716709075487703</v>
      </c>
      <c r="T135" s="13">
        <f>IF(Marketing!$K135=0,0,Marketing!$I135/Marketing!$K135)</f>
        <v>496.86106870229008</v>
      </c>
      <c r="U135" s="13">
        <f>Marketing!$M135 - Marketing!$I135</f>
        <v>-63260</v>
      </c>
      <c r="V135" s="13">
        <f>IF(Marketing!$L135=0,0,Marketing!$I135/Marketing!$L135)</f>
        <v>6258.5384615384619</v>
      </c>
      <c r="W135" s="7" t="str">
        <f>IF(ISNUMBER(SEARCH("tier1",Marketing!$E135)),"Tier 1","Tier 2")</f>
        <v>Tier 2</v>
      </c>
      <c r="X135" s="7" t="str">
        <f t="shared" si="2"/>
        <v>Tier 2</v>
      </c>
      <c r="Y135" s="7" t="str">
        <f>IF(WEEKDAY(Marketing!$D135,2)&lt;6,"Weekday","Weekend")</f>
        <v>Weekend</v>
      </c>
    </row>
    <row r="136" spans="1:25" x14ac:dyDescent="0.35">
      <c r="A136" s="5">
        <v>135</v>
      </c>
      <c r="B136" s="5" t="str">
        <f>TEXT(Marketing!$D136,"MMMM")</f>
        <v>February</v>
      </c>
      <c r="C136" s="5" t="str">
        <f>TEXT(Marketing!$D136,"DDDD")</f>
        <v>Saturday</v>
      </c>
      <c r="D136" s="6">
        <v>44240</v>
      </c>
      <c r="E136" s="5" t="s">
        <v>3</v>
      </c>
      <c r="F136" s="5" t="s">
        <v>4</v>
      </c>
      <c r="G136" s="5">
        <v>89459845</v>
      </c>
      <c r="H136" s="5">
        <v>225350</v>
      </c>
      <c r="I136" s="12">
        <v>61588.1</v>
      </c>
      <c r="J136" s="5">
        <v>4507</v>
      </c>
      <c r="K136" s="5">
        <v>100</v>
      </c>
      <c r="L136" s="5">
        <v>17</v>
      </c>
      <c r="M136" s="12">
        <v>152660</v>
      </c>
      <c r="N136" s="14">
        <v>1.4787255979645418E-2</v>
      </c>
      <c r="O136" s="16">
        <v>2.0000000000000001E-4</v>
      </c>
      <c r="P136" s="18">
        <v>2.218770800976259E-4</v>
      </c>
      <c r="Q136" s="16">
        <v>1.7000000000000001E-3</v>
      </c>
      <c r="R136" s="12">
        <f>IF(Marketing!$L136=0, 0, Marketing!$M136/Marketing!$L136)</f>
        <v>8980</v>
      </c>
      <c r="S136" s="12">
        <f>IF(Marketing!$J136=0,0,Marketing!$I136/Marketing!$J136)</f>
        <v>13.664987796760593</v>
      </c>
      <c r="T136" s="12">
        <f>IF(Marketing!$K136=0,0,Marketing!$I136/Marketing!$K136)</f>
        <v>615.88099999999997</v>
      </c>
      <c r="U136" s="12">
        <f>Marketing!$M136 - Marketing!$I136</f>
        <v>91071.9</v>
      </c>
      <c r="V136" s="12">
        <f>IF(Marketing!$L136=0,0,Marketing!$I136/Marketing!$L136)</f>
        <v>3622.8294117647056</v>
      </c>
      <c r="W136" s="5" t="str">
        <f>IF(ISNUMBER(SEARCH("tier1",Marketing!$E136)),"Tier 1","Tier 2")</f>
        <v>Tier 2</v>
      </c>
      <c r="X136" s="5" t="str">
        <f t="shared" si="2"/>
        <v>Tier 2</v>
      </c>
      <c r="Y136" s="5" t="str">
        <f>IF(WEEKDAY(Marketing!$D136,2)&lt;6,"Weekday","Weekend")</f>
        <v>Weekend</v>
      </c>
    </row>
    <row r="137" spans="1:25" x14ac:dyDescent="0.35">
      <c r="A137" s="7">
        <v>136</v>
      </c>
      <c r="B137" s="7" t="str">
        <f>TEXT(Marketing!$D137,"MMMM")</f>
        <v>February</v>
      </c>
      <c r="C137" s="7" t="str">
        <f>TEXT(Marketing!$D137,"DDDD")</f>
        <v>Saturday</v>
      </c>
      <c r="D137" s="8">
        <v>44240</v>
      </c>
      <c r="E137" s="7" t="s">
        <v>5</v>
      </c>
      <c r="F137" s="7" t="s">
        <v>4</v>
      </c>
      <c r="G137" s="7">
        <v>127823</v>
      </c>
      <c r="H137" s="7">
        <v>3452027</v>
      </c>
      <c r="I137" s="13">
        <v>216562</v>
      </c>
      <c r="J137" s="7">
        <v>12010</v>
      </c>
      <c r="K137" s="7">
        <v>378</v>
      </c>
      <c r="L137" s="7">
        <v>56</v>
      </c>
      <c r="M137" s="13">
        <v>123088</v>
      </c>
      <c r="N137" s="15">
        <v>-4.3162697056732015E-3</v>
      </c>
      <c r="O137" s="16">
        <v>3.4791153139879846E-5</v>
      </c>
      <c r="P137" s="18">
        <v>3.1473771856786015E-4</v>
      </c>
      <c r="Q137" s="16">
        <v>1.4814814814814814E-3</v>
      </c>
      <c r="R137" s="13">
        <f>IF(Marketing!$L137=0, 0, Marketing!$M137/Marketing!$L137)</f>
        <v>2198</v>
      </c>
      <c r="S137" s="13">
        <f>IF(Marketing!$J137=0,0,Marketing!$I137/Marketing!$J137)</f>
        <v>18.031806827643631</v>
      </c>
      <c r="T137" s="13">
        <f>IF(Marketing!$K137=0,0,Marketing!$I137/Marketing!$K137)</f>
        <v>572.9153439153439</v>
      </c>
      <c r="U137" s="13">
        <f>Marketing!$M137 - Marketing!$I137</f>
        <v>-93474</v>
      </c>
      <c r="V137" s="13">
        <f>IF(Marketing!$L137=0,0,Marketing!$I137/Marketing!$L137)</f>
        <v>3867.1785714285716</v>
      </c>
      <c r="W137" s="7" t="str">
        <f>IF(ISNUMBER(SEARCH("tier1",Marketing!$E137)),"Tier 1","Tier 2")</f>
        <v>Tier 2</v>
      </c>
      <c r="X137" s="7" t="str">
        <f t="shared" si="2"/>
        <v>Tier 2</v>
      </c>
      <c r="Y137" s="7" t="str">
        <f>IF(WEEKDAY(Marketing!$D137,2)&lt;6,"Weekday","Weekend")</f>
        <v>Weekend</v>
      </c>
    </row>
    <row r="138" spans="1:25" x14ac:dyDescent="0.35">
      <c r="A138" s="5">
        <v>137</v>
      </c>
      <c r="B138" s="5" t="str">
        <f>TEXT(Marketing!$D138,"MMMM")</f>
        <v>February</v>
      </c>
      <c r="C138" s="5" t="str">
        <f>TEXT(Marketing!$D138,"DDDD")</f>
        <v>Saturday</v>
      </c>
      <c r="D138" s="6">
        <v>44240</v>
      </c>
      <c r="E138" s="5" t="s">
        <v>6</v>
      </c>
      <c r="F138" s="5" t="s">
        <v>7</v>
      </c>
      <c r="G138" s="5">
        <v>10934</v>
      </c>
      <c r="H138" s="5">
        <v>2250900</v>
      </c>
      <c r="I138" s="12">
        <v>205045</v>
      </c>
      <c r="J138" s="5">
        <v>22509</v>
      </c>
      <c r="K138" s="5">
        <v>790</v>
      </c>
      <c r="L138" s="5">
        <v>158</v>
      </c>
      <c r="M138" s="12">
        <v>1296550</v>
      </c>
      <c r="N138" s="14">
        <v>5.3232461167060888E-2</v>
      </c>
      <c r="O138" s="16">
        <v>1E-4</v>
      </c>
      <c r="P138" s="18">
        <v>3.5097072282198232E-4</v>
      </c>
      <c r="Q138" s="16">
        <v>2E-3</v>
      </c>
      <c r="R138" s="12">
        <f>IF(Marketing!$L138=0, 0, Marketing!$M138/Marketing!$L138)</f>
        <v>8206.0126582278481</v>
      </c>
      <c r="S138" s="12">
        <f>IF(Marketing!$J138=0,0,Marketing!$I138/Marketing!$J138)</f>
        <v>9.1094673241814377</v>
      </c>
      <c r="T138" s="12">
        <f>IF(Marketing!$K138=0,0,Marketing!$I138/Marketing!$K138)</f>
        <v>259.55063291139243</v>
      </c>
      <c r="U138" s="12">
        <f>Marketing!$M138 - Marketing!$I138</f>
        <v>1091505</v>
      </c>
      <c r="V138" s="12">
        <f>IF(Marketing!$L138=0,0,Marketing!$I138/Marketing!$L138)</f>
        <v>1297.753164556962</v>
      </c>
      <c r="W138" s="5" t="str">
        <f>IF(ISNUMBER(SEARCH("tier1",Marketing!$E138)),"Tier 1","Tier 2")</f>
        <v>Tier 2</v>
      </c>
      <c r="X138" s="5" t="str">
        <f t="shared" si="2"/>
        <v>Tier 2</v>
      </c>
      <c r="Y138" s="5" t="str">
        <f>IF(WEEKDAY(Marketing!$D138,2)&lt;6,"Weekday","Weekend")</f>
        <v>Weekend</v>
      </c>
    </row>
    <row r="139" spans="1:25" x14ac:dyDescent="0.35">
      <c r="A139" s="7">
        <v>138</v>
      </c>
      <c r="B139" s="7" t="str">
        <f>TEXT(Marketing!$D139,"MMMM")</f>
        <v>February</v>
      </c>
      <c r="C139" s="7" t="str">
        <f>TEXT(Marketing!$D139,"DDDD")</f>
        <v>Saturday</v>
      </c>
      <c r="D139" s="8">
        <v>44240</v>
      </c>
      <c r="E139" s="7" t="s">
        <v>8</v>
      </c>
      <c r="F139" s="7" t="s">
        <v>2</v>
      </c>
      <c r="G139" s="7">
        <v>9034945</v>
      </c>
      <c r="H139" s="7">
        <v>2698200</v>
      </c>
      <c r="I139" s="13">
        <v>88844.800000000003</v>
      </c>
      <c r="J139" s="7">
        <v>13491</v>
      </c>
      <c r="K139" s="7">
        <v>219</v>
      </c>
      <c r="L139" s="7">
        <v>26</v>
      </c>
      <c r="M139" s="13">
        <v>176384</v>
      </c>
      <c r="N139" s="15">
        <v>9.8530471113672385E-3</v>
      </c>
      <c r="O139" s="16">
        <v>5.0000000000000002E-5</v>
      </c>
      <c r="P139" s="18">
        <v>1.6233044251723371E-4</v>
      </c>
      <c r="Q139" s="16">
        <v>1.1872146118721461E-3</v>
      </c>
      <c r="R139" s="13">
        <f>IF(Marketing!$L139=0, 0, Marketing!$M139/Marketing!$L139)</f>
        <v>6784</v>
      </c>
      <c r="S139" s="13">
        <f>IF(Marketing!$J139=0,0,Marketing!$I139/Marketing!$J139)</f>
        <v>6.5854866207101033</v>
      </c>
      <c r="T139" s="13">
        <f>IF(Marketing!$K139=0,0,Marketing!$I139/Marketing!$K139)</f>
        <v>405.68401826484018</v>
      </c>
      <c r="U139" s="13">
        <f>Marketing!$M139 - Marketing!$I139</f>
        <v>87539.199999999997</v>
      </c>
      <c r="V139" s="13">
        <f>IF(Marketing!$L139=0,0,Marketing!$I139/Marketing!$L139)</f>
        <v>3417.1076923076926</v>
      </c>
      <c r="W139" s="7" t="str">
        <f>IF(ISNUMBER(SEARCH("tier1",Marketing!$E139)),"Tier 1","Tier 2")</f>
        <v>Tier 1</v>
      </c>
      <c r="X139" s="7" t="str">
        <f t="shared" si="2"/>
        <v>Tier 1</v>
      </c>
      <c r="Y139" s="7" t="str">
        <f>IF(WEEKDAY(Marketing!$D139,2)&lt;6,"Weekday","Weekend")</f>
        <v>Weekend</v>
      </c>
    </row>
    <row r="140" spans="1:25" x14ac:dyDescent="0.35">
      <c r="A140" s="5">
        <v>139</v>
      </c>
      <c r="B140" s="5" t="str">
        <f>TEXT(Marketing!$D140,"MMMM")</f>
        <v>February</v>
      </c>
      <c r="C140" s="5" t="str">
        <f>TEXT(Marketing!$D140,"DDDD")</f>
        <v>Saturday</v>
      </c>
      <c r="D140" s="6">
        <v>44240</v>
      </c>
      <c r="E140" s="5" t="s">
        <v>9</v>
      </c>
      <c r="F140" s="5" t="s">
        <v>2</v>
      </c>
      <c r="G140" s="5">
        <v>983498</v>
      </c>
      <c r="H140" s="5">
        <v>5100600</v>
      </c>
      <c r="I140" s="12">
        <v>16656.8</v>
      </c>
      <c r="J140" s="5">
        <v>25503</v>
      </c>
      <c r="K140" s="5">
        <v>510</v>
      </c>
      <c r="L140" s="5">
        <v>6</v>
      </c>
      <c r="M140" s="12">
        <v>10134</v>
      </c>
      <c r="N140" s="14">
        <v>-3.9159982709764179E-3</v>
      </c>
      <c r="O140" s="16">
        <v>5.0000000000000002E-5</v>
      </c>
      <c r="P140" s="18">
        <v>1.9997647335607576E-4</v>
      </c>
      <c r="Q140" s="16">
        <v>1.1764705882352942E-4</v>
      </c>
      <c r="R140" s="12">
        <f>IF(Marketing!$L140=0, 0, Marketing!$M140/Marketing!$L140)</f>
        <v>1689</v>
      </c>
      <c r="S140" s="12">
        <f>IF(Marketing!$J140=0,0,Marketing!$I140/Marketing!$J140)</f>
        <v>0.65313100419558479</v>
      </c>
      <c r="T140" s="12">
        <f>IF(Marketing!$K140=0,0,Marketing!$I140/Marketing!$K140)</f>
        <v>32.660392156862741</v>
      </c>
      <c r="U140" s="12">
        <f>Marketing!$M140 - Marketing!$I140</f>
        <v>-6522.7999999999993</v>
      </c>
      <c r="V140" s="12">
        <f>IF(Marketing!$L140=0,0,Marketing!$I140/Marketing!$L140)</f>
        <v>2776.1333333333332</v>
      </c>
      <c r="W140" s="5" t="str">
        <f>IF(ISNUMBER(SEARCH("tier1",Marketing!$E140)),"Tier 1","Tier 2")</f>
        <v>Tier 2</v>
      </c>
      <c r="X140" s="5" t="str">
        <f t="shared" si="2"/>
        <v>Tier 2</v>
      </c>
      <c r="Y140" s="5" t="str">
        <f>IF(WEEKDAY(Marketing!$D140,2)&lt;6,"Weekday","Weekend")</f>
        <v>Weekend</v>
      </c>
    </row>
    <row r="141" spans="1:25" x14ac:dyDescent="0.35">
      <c r="A141" s="7">
        <v>140</v>
      </c>
      <c r="B141" s="7" t="str">
        <f>TEXT(Marketing!$D141,"MMMM")</f>
        <v>February</v>
      </c>
      <c r="C141" s="7" t="str">
        <f>TEXT(Marketing!$D141,"DDDD")</f>
        <v>Saturday</v>
      </c>
      <c r="D141" s="8">
        <v>44240</v>
      </c>
      <c r="E141" s="7" t="s">
        <v>10</v>
      </c>
      <c r="F141" s="7" t="s">
        <v>2</v>
      </c>
      <c r="G141" s="7">
        <v>4387490</v>
      </c>
      <c r="H141" s="7">
        <v>50333</v>
      </c>
      <c r="I141" s="13">
        <v>8367.08</v>
      </c>
      <c r="J141" s="7">
        <v>1510</v>
      </c>
      <c r="K141" s="7">
        <v>19</v>
      </c>
      <c r="L141" s="7">
        <v>4</v>
      </c>
      <c r="M141" s="13">
        <v>18828</v>
      </c>
      <c r="N141" s="15">
        <v>1.2502473981365064E-2</v>
      </c>
      <c r="O141" s="16">
        <v>3.0000198676812429E-4</v>
      </c>
      <c r="P141" s="18">
        <v>1.2582781456953643E-4</v>
      </c>
      <c r="Q141" s="16">
        <v>2.1052631578947368E-3</v>
      </c>
      <c r="R141" s="13">
        <f>IF(Marketing!$L141=0, 0, Marketing!$M141/Marketing!$L141)</f>
        <v>4707</v>
      </c>
      <c r="S141" s="13">
        <f>IF(Marketing!$J141=0,0,Marketing!$I141/Marketing!$J141)</f>
        <v>5.5411125827814569</v>
      </c>
      <c r="T141" s="13">
        <f>IF(Marketing!$K141=0,0,Marketing!$I141/Marketing!$K141)</f>
        <v>440.37263157894739</v>
      </c>
      <c r="U141" s="13">
        <f>Marketing!$M141 - Marketing!$I141</f>
        <v>10460.92</v>
      </c>
      <c r="V141" s="13">
        <f>IF(Marketing!$L141=0,0,Marketing!$I141/Marketing!$L141)</f>
        <v>2091.77</v>
      </c>
      <c r="W141" s="7" t="str">
        <f>IF(ISNUMBER(SEARCH("tier1",Marketing!$E141)),"Tier 1","Tier 2")</f>
        <v>Tier 2</v>
      </c>
      <c r="X141" s="7" t="str">
        <f t="shared" si="2"/>
        <v>Tier 2</v>
      </c>
      <c r="Y141" s="7" t="str">
        <f>IF(WEEKDAY(Marketing!$D141,2)&lt;6,"Weekday","Weekend")</f>
        <v>Weekend</v>
      </c>
    </row>
    <row r="142" spans="1:25" x14ac:dyDescent="0.35">
      <c r="A142" s="5">
        <v>141</v>
      </c>
      <c r="B142" s="5" t="str">
        <f>TEXT(Marketing!$D142,"MMMM")</f>
        <v>February</v>
      </c>
      <c r="C142" s="5" t="str">
        <f>TEXT(Marketing!$D142,"DDDD")</f>
        <v>Saturday</v>
      </c>
      <c r="D142" s="6">
        <v>44240</v>
      </c>
      <c r="E142" s="5" t="s">
        <v>11</v>
      </c>
      <c r="F142" s="5" t="s">
        <v>2</v>
      </c>
      <c r="G142" s="5">
        <v>544756</v>
      </c>
      <c r="H142" s="5">
        <v>495013</v>
      </c>
      <c r="I142" s="12">
        <v>171332</v>
      </c>
      <c r="J142" s="5">
        <v>6006</v>
      </c>
      <c r="K142" s="5">
        <v>128</v>
      </c>
      <c r="L142" s="5">
        <v>19</v>
      </c>
      <c r="M142" s="12">
        <v>24035</v>
      </c>
      <c r="N142" s="14">
        <v>-8.5971680713468595E-3</v>
      </c>
      <c r="O142" s="16">
        <v>1.2133014688503131E-4</v>
      </c>
      <c r="P142" s="18">
        <v>2.1312021312021312E-4</v>
      </c>
      <c r="Q142" s="16">
        <v>1.484375E-3</v>
      </c>
      <c r="R142" s="12">
        <f>IF(Marketing!$L142=0, 0, Marketing!$M142/Marketing!$L142)</f>
        <v>1265</v>
      </c>
      <c r="S142" s="12">
        <f>IF(Marketing!$J142=0,0,Marketing!$I142/Marketing!$J142)</f>
        <v>28.526806526806528</v>
      </c>
      <c r="T142" s="12">
        <f>IF(Marketing!$K142=0,0,Marketing!$I142/Marketing!$K142)</f>
        <v>1338.53125</v>
      </c>
      <c r="U142" s="12">
        <f>Marketing!$M142 - Marketing!$I142</f>
        <v>-147297</v>
      </c>
      <c r="V142" s="12">
        <f>IF(Marketing!$L142=0,0,Marketing!$I142/Marketing!$L142)</f>
        <v>9017.4736842105267</v>
      </c>
      <c r="W142" s="5" t="str">
        <f>IF(ISNUMBER(SEARCH("tier1",Marketing!$E142)),"Tier 1","Tier 2")</f>
        <v>Tier 2</v>
      </c>
      <c r="X142" s="5" t="str">
        <f t="shared" si="2"/>
        <v>Tier 2</v>
      </c>
      <c r="Y142" s="5" t="str">
        <f>IF(WEEKDAY(Marketing!$D142,2)&lt;6,"Weekday","Weekend")</f>
        <v>Weekend</v>
      </c>
    </row>
    <row r="143" spans="1:25" x14ac:dyDescent="0.35">
      <c r="A143" s="7">
        <v>142</v>
      </c>
      <c r="B143" s="7" t="str">
        <f>TEXT(Marketing!$D143,"MMMM")</f>
        <v>February</v>
      </c>
      <c r="C143" s="7" t="str">
        <f>TEXT(Marketing!$D143,"DDDD")</f>
        <v>Saturday</v>
      </c>
      <c r="D143" s="8">
        <v>44240</v>
      </c>
      <c r="E143" s="7" t="s">
        <v>12</v>
      </c>
      <c r="F143" s="7" t="s">
        <v>7</v>
      </c>
      <c r="G143" s="7">
        <v>374754</v>
      </c>
      <c r="H143" s="7">
        <v>1499200</v>
      </c>
      <c r="I143" s="13">
        <v>32770.1</v>
      </c>
      <c r="J143" s="7">
        <v>14992</v>
      </c>
      <c r="K143" s="7">
        <v>50</v>
      </c>
      <c r="L143" s="7">
        <v>8</v>
      </c>
      <c r="M143" s="13">
        <v>43976</v>
      </c>
      <c r="N143" s="15">
        <v>3.4195501386935045E-3</v>
      </c>
      <c r="O143" s="16">
        <v>1E-4</v>
      </c>
      <c r="P143" s="18">
        <v>3.3351120597652083E-5</v>
      </c>
      <c r="Q143" s="16">
        <v>1.6000000000000001E-3</v>
      </c>
      <c r="R143" s="13">
        <f>IF(Marketing!$L143=0, 0, Marketing!$M143/Marketing!$L143)</f>
        <v>5497</v>
      </c>
      <c r="S143" s="13">
        <f>IF(Marketing!$J143=0,0,Marketing!$I143/Marketing!$J143)</f>
        <v>2.1858391141942368</v>
      </c>
      <c r="T143" s="13">
        <f>IF(Marketing!$K143=0,0,Marketing!$I143/Marketing!$K143)</f>
        <v>655.40199999999993</v>
      </c>
      <c r="U143" s="13">
        <f>Marketing!$M143 - Marketing!$I143</f>
        <v>11205.900000000001</v>
      </c>
      <c r="V143" s="13">
        <f>IF(Marketing!$L143=0,0,Marketing!$I143/Marketing!$L143)</f>
        <v>4096.2624999999998</v>
      </c>
      <c r="W143" s="7" t="str">
        <f>IF(ISNUMBER(SEARCH("tier1",Marketing!$E143)),"Tier 1","Tier 2")</f>
        <v>Tier 2</v>
      </c>
      <c r="X143" s="7" t="str">
        <f t="shared" si="2"/>
        <v>Tier 2</v>
      </c>
      <c r="Y143" s="7" t="str">
        <f>IF(WEEKDAY(Marketing!$D143,2)&lt;6,"Weekday","Weekend")</f>
        <v>Weekend</v>
      </c>
    </row>
    <row r="144" spans="1:25" x14ac:dyDescent="0.35">
      <c r="A144" s="5">
        <v>143</v>
      </c>
      <c r="B144" s="5" t="str">
        <f>TEXT(Marketing!$D144,"MMMM")</f>
        <v>February</v>
      </c>
      <c r="C144" s="5" t="str">
        <f>TEXT(Marketing!$D144,"DDDD")</f>
        <v>Saturday</v>
      </c>
      <c r="D144" s="6">
        <v>44240</v>
      </c>
      <c r="E144" s="5" t="s">
        <v>13</v>
      </c>
      <c r="F144" s="5" t="s">
        <v>14</v>
      </c>
      <c r="G144" s="5">
        <v>39889</v>
      </c>
      <c r="H144" s="5">
        <v>17890507</v>
      </c>
      <c r="I144" s="12">
        <v>390105</v>
      </c>
      <c r="J144" s="5">
        <v>20993</v>
      </c>
      <c r="K144" s="5">
        <v>734</v>
      </c>
      <c r="L144" s="5">
        <v>118</v>
      </c>
      <c r="M144" s="12">
        <v>353174</v>
      </c>
      <c r="N144" s="14">
        <v>-9.4669383883826152E-4</v>
      </c>
      <c r="O144" s="16">
        <v>1.173415599680881E-5</v>
      </c>
      <c r="P144" s="18">
        <v>3.4964035630924596E-4</v>
      </c>
      <c r="Q144" s="16">
        <v>1.6076294277929154E-3</v>
      </c>
      <c r="R144" s="12">
        <f>IF(Marketing!$L144=0, 0, Marketing!$M144/Marketing!$L144)</f>
        <v>2993</v>
      </c>
      <c r="S144" s="12">
        <f>IF(Marketing!$J144=0,0,Marketing!$I144/Marketing!$J144)</f>
        <v>18.58262277902158</v>
      </c>
      <c r="T144" s="12">
        <f>IF(Marketing!$K144=0,0,Marketing!$I144/Marketing!$K144)</f>
        <v>531.47820163487734</v>
      </c>
      <c r="U144" s="12">
        <f>Marketing!$M144 - Marketing!$I144</f>
        <v>-36931</v>
      </c>
      <c r="V144" s="12">
        <f>IF(Marketing!$L144=0,0,Marketing!$I144/Marketing!$L144)</f>
        <v>3305.9745762711864</v>
      </c>
      <c r="W144" s="5" t="str">
        <f>IF(ISNUMBER(SEARCH("tier1",Marketing!$E144)),"Tier 1","Tier 2")</f>
        <v>Tier 2</v>
      </c>
      <c r="X144" s="5" t="str">
        <f t="shared" si="2"/>
        <v>Tier 2</v>
      </c>
      <c r="Y144" s="5" t="str">
        <f>IF(WEEKDAY(Marketing!$D144,2)&lt;6,"Weekday","Weekend")</f>
        <v>Weekend</v>
      </c>
    </row>
    <row r="145" spans="1:25" x14ac:dyDescent="0.35">
      <c r="A145" s="7">
        <v>144</v>
      </c>
      <c r="B145" s="7" t="str">
        <f>TEXT(Marketing!$D145,"MMMM")</f>
        <v>February</v>
      </c>
      <c r="C145" s="7" t="str">
        <f>TEXT(Marketing!$D145,"DDDD")</f>
        <v>Sunday</v>
      </c>
      <c r="D145" s="8">
        <v>44241</v>
      </c>
      <c r="E145" s="7" t="s">
        <v>1</v>
      </c>
      <c r="F145" s="7" t="s">
        <v>2</v>
      </c>
      <c r="G145" s="7">
        <v>349043</v>
      </c>
      <c r="H145" s="7">
        <v>2452315</v>
      </c>
      <c r="I145" s="13">
        <v>60244.9</v>
      </c>
      <c r="J145" s="7">
        <v>14406</v>
      </c>
      <c r="K145" s="7">
        <v>110</v>
      </c>
      <c r="L145" s="7">
        <v>14</v>
      </c>
      <c r="M145" s="13">
        <v>63560</v>
      </c>
      <c r="N145" s="15">
        <v>5.5027064531603482E-4</v>
      </c>
      <c r="O145" s="16">
        <v>5.8744492448971689E-5</v>
      </c>
      <c r="P145" s="18">
        <v>7.6357073441621546E-5</v>
      </c>
      <c r="Q145" s="16">
        <v>1.2727272727272726E-3</v>
      </c>
      <c r="R145" s="13">
        <f>IF(Marketing!$L145=0, 0, Marketing!$M145/Marketing!$L145)</f>
        <v>4540</v>
      </c>
      <c r="S145" s="13">
        <f>IF(Marketing!$J145=0,0,Marketing!$I145/Marketing!$J145)</f>
        <v>4.1819311398028605</v>
      </c>
      <c r="T145" s="13">
        <f>IF(Marketing!$K145=0,0,Marketing!$I145/Marketing!$K145)</f>
        <v>547.68090909090915</v>
      </c>
      <c r="U145" s="13">
        <f>Marketing!$M145 - Marketing!$I145</f>
        <v>3315.0999999999985</v>
      </c>
      <c r="V145" s="13">
        <f>IF(Marketing!$L145=0,0,Marketing!$I145/Marketing!$L145)</f>
        <v>4303.2071428571426</v>
      </c>
      <c r="W145" s="7" t="str">
        <f>IF(ISNUMBER(SEARCH("tier1",Marketing!$E145)),"Tier 1","Tier 2")</f>
        <v>Tier 1</v>
      </c>
      <c r="X145" s="7" t="str">
        <f t="shared" si="2"/>
        <v>Tier 1</v>
      </c>
      <c r="Y145" s="7" t="str">
        <f>IF(WEEKDAY(Marketing!$D145,2)&lt;6,"Weekday","Weekend")</f>
        <v>Weekend</v>
      </c>
    </row>
    <row r="146" spans="1:25" x14ac:dyDescent="0.35">
      <c r="A146" s="5">
        <v>145</v>
      </c>
      <c r="B146" s="5" t="str">
        <f>TEXT(Marketing!$D146,"MMMM")</f>
        <v>February</v>
      </c>
      <c r="C146" s="5" t="str">
        <f>TEXT(Marketing!$D146,"DDDD")</f>
        <v>Sunday</v>
      </c>
      <c r="D146" s="6">
        <v>44241</v>
      </c>
      <c r="E146" s="7" t="s">
        <v>67</v>
      </c>
      <c r="F146" s="5" t="s">
        <v>2</v>
      </c>
      <c r="G146" s="5">
        <v>348934</v>
      </c>
      <c r="H146" s="5">
        <v>7936534</v>
      </c>
      <c r="I146" s="12">
        <v>197948</v>
      </c>
      <c r="J146" s="5">
        <v>19797</v>
      </c>
      <c r="K146" s="5">
        <v>396</v>
      </c>
      <c r="L146" s="5">
        <v>30</v>
      </c>
      <c r="M146" s="12">
        <v>149430</v>
      </c>
      <c r="N146" s="14">
        <v>-2.4510477499141191E-3</v>
      </c>
      <c r="O146" s="16">
        <v>2.4944138083450531E-5</v>
      </c>
      <c r="P146" s="18">
        <v>2.0003030762236703E-4</v>
      </c>
      <c r="Q146" s="16">
        <v>7.5757575757575758E-4</v>
      </c>
      <c r="R146" s="12">
        <f>IF(Marketing!$L146=0, 0, Marketing!$M146/Marketing!$L146)</f>
        <v>4981</v>
      </c>
      <c r="S146" s="12">
        <f>IF(Marketing!$J146=0,0,Marketing!$I146/Marketing!$J146)</f>
        <v>9.9988887205132091</v>
      </c>
      <c r="T146" s="12">
        <f>IF(Marketing!$K146=0,0,Marketing!$I146/Marketing!$K146)</f>
        <v>499.86868686868689</v>
      </c>
      <c r="U146" s="12">
        <f>Marketing!$M146 - Marketing!$I146</f>
        <v>-48518</v>
      </c>
      <c r="V146" s="12">
        <f>IF(Marketing!$L146=0,0,Marketing!$I146/Marketing!$L146)</f>
        <v>6598.2666666666664</v>
      </c>
      <c r="W146" s="5" t="str">
        <f>IF(ISNUMBER(SEARCH("tier1",Marketing!$E146)),"Tier 1","Tier 2")</f>
        <v>Tier 2</v>
      </c>
      <c r="X146" s="5" t="str">
        <f t="shared" si="2"/>
        <v>Tier 2</v>
      </c>
      <c r="Y146" s="5" t="str">
        <f>IF(WEEKDAY(Marketing!$D146,2)&lt;6,"Weekday","Weekend")</f>
        <v>Weekend</v>
      </c>
    </row>
    <row r="147" spans="1:25" x14ac:dyDescent="0.35">
      <c r="A147" s="7">
        <v>146</v>
      </c>
      <c r="B147" s="7" t="str">
        <f>TEXT(Marketing!$D147,"MMMM")</f>
        <v>February</v>
      </c>
      <c r="C147" s="7" t="str">
        <f>TEXT(Marketing!$D147,"DDDD")</f>
        <v>Sunday</v>
      </c>
      <c r="D147" s="8">
        <v>44241</v>
      </c>
      <c r="E147" s="7" t="s">
        <v>3</v>
      </c>
      <c r="F147" s="7" t="s">
        <v>4</v>
      </c>
      <c r="G147" s="7">
        <v>89459845</v>
      </c>
      <c r="H147" s="7">
        <v>263754</v>
      </c>
      <c r="I147" s="13">
        <v>56440.3</v>
      </c>
      <c r="J147" s="7">
        <v>5409</v>
      </c>
      <c r="K147" s="7">
        <v>90</v>
      </c>
      <c r="L147" s="7">
        <v>11</v>
      </c>
      <c r="M147" s="13">
        <v>84183</v>
      </c>
      <c r="N147" s="15">
        <v>4.9154061902576696E-3</v>
      </c>
      <c r="O147" s="16">
        <v>2.0507745854091313E-4</v>
      </c>
      <c r="P147" s="18">
        <v>1.6638935108153079E-4</v>
      </c>
      <c r="Q147" s="16">
        <v>1.2222222222222222E-3</v>
      </c>
      <c r="R147" s="13">
        <f>IF(Marketing!$L147=0, 0, Marketing!$M147/Marketing!$L147)</f>
        <v>7653</v>
      </c>
      <c r="S147" s="13">
        <f>IF(Marketing!$J147=0,0,Marketing!$I147/Marketing!$J147)</f>
        <v>10.43451654649658</v>
      </c>
      <c r="T147" s="13">
        <f>IF(Marketing!$K147=0,0,Marketing!$I147/Marketing!$K147)</f>
        <v>627.11444444444453</v>
      </c>
      <c r="U147" s="13">
        <f>Marketing!$M147 - Marketing!$I147</f>
        <v>27742.699999999997</v>
      </c>
      <c r="V147" s="13">
        <f>IF(Marketing!$L147=0,0,Marketing!$I147/Marketing!$L147)</f>
        <v>5130.9363636363641</v>
      </c>
      <c r="W147" s="7" t="str">
        <f>IF(ISNUMBER(SEARCH("tier1",Marketing!$E147)),"Tier 1","Tier 2")</f>
        <v>Tier 2</v>
      </c>
      <c r="X147" s="7" t="str">
        <f t="shared" si="2"/>
        <v>Tier 2</v>
      </c>
      <c r="Y147" s="7" t="str">
        <f>IF(WEEKDAY(Marketing!$D147,2)&lt;6,"Weekday","Weekend")</f>
        <v>Weekend</v>
      </c>
    </row>
    <row r="148" spans="1:25" x14ac:dyDescent="0.35">
      <c r="A148" s="5">
        <v>147</v>
      </c>
      <c r="B148" s="5" t="str">
        <f>TEXT(Marketing!$D148,"MMMM")</f>
        <v>February</v>
      </c>
      <c r="C148" s="5" t="str">
        <f>TEXT(Marketing!$D148,"DDDD")</f>
        <v>Sunday</v>
      </c>
      <c r="D148" s="6">
        <v>44241</v>
      </c>
      <c r="E148" s="5" t="s">
        <v>5</v>
      </c>
      <c r="F148" s="5" t="s">
        <v>4</v>
      </c>
      <c r="G148" s="5">
        <v>127823</v>
      </c>
      <c r="H148" s="5">
        <v>3111389</v>
      </c>
      <c r="I148" s="12">
        <v>196998</v>
      </c>
      <c r="J148" s="5">
        <v>14390</v>
      </c>
      <c r="K148" s="5">
        <v>498</v>
      </c>
      <c r="L148" s="5">
        <v>48</v>
      </c>
      <c r="M148" s="12">
        <v>101280</v>
      </c>
      <c r="N148" s="14">
        <v>-4.8588310541223768E-3</v>
      </c>
      <c r="O148" s="16">
        <v>4.6249440362487622E-5</v>
      </c>
      <c r="P148" s="18">
        <v>3.4607366226546211E-4</v>
      </c>
      <c r="Q148" s="16">
        <v>9.6385542168674705E-4</v>
      </c>
      <c r="R148" s="12">
        <f>IF(Marketing!$L148=0, 0, Marketing!$M148/Marketing!$L148)</f>
        <v>2110</v>
      </c>
      <c r="S148" s="12">
        <f>IF(Marketing!$J148=0,0,Marketing!$I148/Marketing!$J148)</f>
        <v>13.689923558026408</v>
      </c>
      <c r="T148" s="12">
        <f>IF(Marketing!$K148=0,0,Marketing!$I148/Marketing!$K148)</f>
        <v>395.57831325301203</v>
      </c>
      <c r="U148" s="12">
        <f>Marketing!$M148 - Marketing!$I148</f>
        <v>-95718</v>
      </c>
      <c r="V148" s="12">
        <f>IF(Marketing!$L148=0,0,Marketing!$I148/Marketing!$L148)</f>
        <v>4104.125</v>
      </c>
      <c r="W148" s="5" t="str">
        <f>IF(ISNUMBER(SEARCH("tier1",Marketing!$E148)),"Tier 1","Tier 2")</f>
        <v>Tier 2</v>
      </c>
      <c r="X148" s="5" t="str">
        <f t="shared" si="2"/>
        <v>Tier 2</v>
      </c>
      <c r="Y148" s="5" t="str">
        <f>IF(WEEKDAY(Marketing!$D148,2)&lt;6,"Weekday","Weekend")</f>
        <v>Weekend</v>
      </c>
    </row>
    <row r="149" spans="1:25" x14ac:dyDescent="0.35">
      <c r="A149" s="7">
        <v>148</v>
      </c>
      <c r="B149" s="7" t="str">
        <f>TEXT(Marketing!$D149,"MMMM")</f>
        <v>February</v>
      </c>
      <c r="C149" s="7" t="str">
        <f>TEXT(Marketing!$D149,"DDDD")</f>
        <v>Sunday</v>
      </c>
      <c r="D149" s="8">
        <v>44241</v>
      </c>
      <c r="E149" s="7" t="s">
        <v>6</v>
      </c>
      <c r="F149" s="7" t="s">
        <v>7</v>
      </c>
      <c r="G149" s="7">
        <v>10934</v>
      </c>
      <c r="H149" s="7">
        <v>2511956</v>
      </c>
      <c r="I149" s="13">
        <v>231751</v>
      </c>
      <c r="J149" s="7">
        <v>26993</v>
      </c>
      <c r="K149" s="7">
        <v>540</v>
      </c>
      <c r="L149" s="7">
        <v>85</v>
      </c>
      <c r="M149" s="13">
        <v>733550</v>
      </c>
      <c r="N149" s="15">
        <v>2.1652506353802142E-2</v>
      </c>
      <c r="O149" s="16">
        <v>1.0745809241881627E-4</v>
      </c>
      <c r="P149" s="18">
        <v>2.0005186529841072E-4</v>
      </c>
      <c r="Q149" s="16">
        <v>1.5740740740740741E-3</v>
      </c>
      <c r="R149" s="13">
        <f>IF(Marketing!$L149=0, 0, Marketing!$M149/Marketing!$L149)</f>
        <v>8630</v>
      </c>
      <c r="S149" s="13">
        <f>IF(Marketing!$J149=0,0,Marketing!$I149/Marketing!$J149)</f>
        <v>8.5855962656985145</v>
      </c>
      <c r="T149" s="13">
        <f>IF(Marketing!$K149=0,0,Marketing!$I149/Marketing!$K149)</f>
        <v>429.16851851851851</v>
      </c>
      <c r="U149" s="13">
        <f>Marketing!$M149 - Marketing!$I149</f>
        <v>501799</v>
      </c>
      <c r="V149" s="13">
        <f>IF(Marketing!$L149=0,0,Marketing!$I149/Marketing!$L149)</f>
        <v>2726.4823529411765</v>
      </c>
      <c r="W149" s="7" t="str">
        <f>IF(ISNUMBER(SEARCH("tier1",Marketing!$E149)),"Tier 1","Tier 2")</f>
        <v>Tier 2</v>
      </c>
      <c r="X149" s="7" t="str">
        <f t="shared" si="2"/>
        <v>Tier 2</v>
      </c>
      <c r="Y149" s="7" t="str">
        <f>IF(WEEKDAY(Marketing!$D149,2)&lt;6,"Weekday","Weekend")</f>
        <v>Weekend</v>
      </c>
    </row>
    <row r="150" spans="1:25" x14ac:dyDescent="0.35">
      <c r="A150" s="5">
        <v>149</v>
      </c>
      <c r="B150" s="5" t="str">
        <f>TEXT(Marketing!$D150,"MMMM")</f>
        <v>February</v>
      </c>
      <c r="C150" s="5" t="str">
        <f>TEXT(Marketing!$D150,"DDDD")</f>
        <v>Sunday</v>
      </c>
      <c r="D150" s="6">
        <v>44241</v>
      </c>
      <c r="E150" s="5" t="s">
        <v>8</v>
      </c>
      <c r="F150" s="5" t="s">
        <v>2</v>
      </c>
      <c r="G150" s="5">
        <v>9034945</v>
      </c>
      <c r="H150" s="5">
        <v>3239400</v>
      </c>
      <c r="I150" s="12">
        <v>312844</v>
      </c>
      <c r="J150" s="5">
        <v>16197</v>
      </c>
      <c r="K150" s="5">
        <v>604</v>
      </c>
      <c r="L150" s="5">
        <v>72</v>
      </c>
      <c r="M150" s="12">
        <v>377352</v>
      </c>
      <c r="N150" s="14">
        <v>2.0619861656288757E-3</v>
      </c>
      <c r="O150" s="16">
        <v>5.0000000000000002E-5</v>
      </c>
      <c r="P150" s="18">
        <v>3.7290856331419398E-4</v>
      </c>
      <c r="Q150" s="16">
        <v>1.1920529801324503E-3</v>
      </c>
      <c r="R150" s="12">
        <f>IF(Marketing!$L150=0, 0, Marketing!$M150/Marketing!$L150)</f>
        <v>5241</v>
      </c>
      <c r="S150" s="12">
        <f>IF(Marketing!$J150=0,0,Marketing!$I150/Marketing!$J150)</f>
        <v>19.314934864481078</v>
      </c>
      <c r="T150" s="12">
        <f>IF(Marketing!$K150=0,0,Marketing!$I150/Marketing!$K150)</f>
        <v>517.95364238410593</v>
      </c>
      <c r="U150" s="12">
        <f>Marketing!$M150 - Marketing!$I150</f>
        <v>64508</v>
      </c>
      <c r="V150" s="12">
        <f>IF(Marketing!$L150=0,0,Marketing!$I150/Marketing!$L150)</f>
        <v>4345.0555555555557</v>
      </c>
      <c r="W150" s="5" t="str">
        <f>IF(ISNUMBER(SEARCH("tier1",Marketing!$E150)),"Tier 1","Tier 2")</f>
        <v>Tier 1</v>
      </c>
      <c r="X150" s="5" t="str">
        <f t="shared" si="2"/>
        <v>Tier 1</v>
      </c>
      <c r="Y150" s="5" t="str">
        <f>IF(WEEKDAY(Marketing!$D150,2)&lt;6,"Weekday","Weekend")</f>
        <v>Weekend</v>
      </c>
    </row>
    <row r="151" spans="1:25" x14ac:dyDescent="0.35">
      <c r="A151" s="7">
        <v>150</v>
      </c>
      <c r="B151" s="7" t="str">
        <f>TEXT(Marketing!$D151,"MMMM")</f>
        <v>February</v>
      </c>
      <c r="C151" s="7" t="str">
        <f>TEXT(Marketing!$D151,"DDDD")</f>
        <v>Sunday</v>
      </c>
      <c r="D151" s="8">
        <v>44241</v>
      </c>
      <c r="E151" s="7" t="s">
        <v>9</v>
      </c>
      <c r="F151" s="7" t="s">
        <v>2</v>
      </c>
      <c r="G151" s="7">
        <v>983498</v>
      </c>
      <c r="H151" s="7">
        <v>5130500</v>
      </c>
      <c r="I151" s="13">
        <v>218228</v>
      </c>
      <c r="J151" s="7">
        <v>30602</v>
      </c>
      <c r="K151" s="7">
        <v>935</v>
      </c>
      <c r="L151" s="7">
        <v>54</v>
      </c>
      <c r="M151" s="13">
        <v>119718</v>
      </c>
      <c r="N151" s="15">
        <v>-4.5140861850908225E-3</v>
      </c>
      <c r="O151" s="16">
        <v>5.9647207874476171E-5</v>
      </c>
      <c r="P151" s="18">
        <v>3.0553558590941767E-4</v>
      </c>
      <c r="Q151" s="16">
        <v>5.7754010695187171E-4</v>
      </c>
      <c r="R151" s="13">
        <f>IF(Marketing!$L151=0, 0, Marketing!$M151/Marketing!$L151)</f>
        <v>2217</v>
      </c>
      <c r="S151" s="13">
        <f>IF(Marketing!$J151=0,0,Marketing!$I151/Marketing!$J151)</f>
        <v>7.1311678975230377</v>
      </c>
      <c r="T151" s="13">
        <f>IF(Marketing!$K151=0,0,Marketing!$I151/Marketing!$K151)</f>
        <v>233.39893048128343</v>
      </c>
      <c r="U151" s="13">
        <f>Marketing!$M151 - Marketing!$I151</f>
        <v>-98510</v>
      </c>
      <c r="V151" s="13">
        <f>IF(Marketing!$L151=0,0,Marketing!$I151/Marketing!$L151)</f>
        <v>4041.2592592592591</v>
      </c>
      <c r="W151" s="7" t="str">
        <f>IF(ISNUMBER(SEARCH("tier1",Marketing!$E151)),"Tier 1","Tier 2")</f>
        <v>Tier 2</v>
      </c>
      <c r="X151" s="7" t="str">
        <f t="shared" si="2"/>
        <v>Tier 2</v>
      </c>
      <c r="Y151" s="7" t="str">
        <f>IF(WEEKDAY(Marketing!$D151,2)&lt;6,"Weekday","Weekend")</f>
        <v>Weekend</v>
      </c>
    </row>
    <row r="152" spans="1:25" x14ac:dyDescent="0.35">
      <c r="A152" s="5">
        <v>151</v>
      </c>
      <c r="B152" s="5" t="str">
        <f>TEXT(Marketing!$D152,"MMMM")</f>
        <v>February</v>
      </c>
      <c r="C152" s="5" t="str">
        <f>TEXT(Marketing!$D152,"DDDD")</f>
        <v>Sunday</v>
      </c>
      <c r="D152" s="6">
        <v>44241</v>
      </c>
      <c r="E152" s="5" t="s">
        <v>10</v>
      </c>
      <c r="F152" s="5" t="s">
        <v>2</v>
      </c>
      <c r="G152" s="5">
        <v>4387490</v>
      </c>
      <c r="H152" s="5">
        <v>55495</v>
      </c>
      <c r="I152" s="12">
        <v>4764.34</v>
      </c>
      <c r="J152" s="5">
        <v>1790</v>
      </c>
      <c r="K152" s="5">
        <v>10</v>
      </c>
      <c r="L152" s="5">
        <v>2</v>
      </c>
      <c r="M152" s="12">
        <v>10902</v>
      </c>
      <c r="N152" s="14">
        <v>1.2882497890578756E-2</v>
      </c>
      <c r="O152" s="16">
        <v>3.2255158122353363E-4</v>
      </c>
      <c r="P152" s="18">
        <v>5.5865921787709498E-5</v>
      </c>
      <c r="Q152" s="16">
        <v>2E-3</v>
      </c>
      <c r="R152" s="12">
        <f>IF(Marketing!$L152=0, 0, Marketing!$M152/Marketing!$L152)</f>
        <v>5451</v>
      </c>
      <c r="S152" s="12">
        <f>IF(Marketing!$J152=0,0,Marketing!$I152/Marketing!$J152)</f>
        <v>2.6616424581005589</v>
      </c>
      <c r="T152" s="12">
        <f>IF(Marketing!$K152=0,0,Marketing!$I152/Marketing!$K152)</f>
        <v>476.43400000000003</v>
      </c>
      <c r="U152" s="12">
        <f>Marketing!$M152 - Marketing!$I152</f>
        <v>6137.66</v>
      </c>
      <c r="V152" s="12">
        <f>IF(Marketing!$L152=0,0,Marketing!$I152/Marketing!$L152)</f>
        <v>2382.17</v>
      </c>
      <c r="W152" s="5" t="str">
        <f>IF(ISNUMBER(SEARCH("tier1",Marketing!$E152)),"Tier 1","Tier 2")</f>
        <v>Tier 2</v>
      </c>
      <c r="X152" s="5" t="str">
        <f t="shared" si="2"/>
        <v>Tier 2</v>
      </c>
      <c r="Y152" s="5" t="str">
        <f>IF(WEEKDAY(Marketing!$D152,2)&lt;6,"Weekday","Weekend")</f>
        <v>Weekend</v>
      </c>
    </row>
    <row r="153" spans="1:25" x14ac:dyDescent="0.35">
      <c r="A153" s="7">
        <v>152</v>
      </c>
      <c r="B153" s="7" t="str">
        <f>TEXT(Marketing!$D153,"MMMM")</f>
        <v>February</v>
      </c>
      <c r="C153" s="7" t="str">
        <f>TEXT(Marketing!$D153,"DDDD")</f>
        <v>Sunday</v>
      </c>
      <c r="D153" s="8">
        <v>44241</v>
      </c>
      <c r="E153" s="7" t="s">
        <v>11</v>
      </c>
      <c r="F153" s="7" t="s">
        <v>2</v>
      </c>
      <c r="G153" s="7">
        <v>544756</v>
      </c>
      <c r="H153" s="7">
        <v>605220</v>
      </c>
      <c r="I153" s="13">
        <v>170719</v>
      </c>
      <c r="J153" s="7">
        <v>7205</v>
      </c>
      <c r="K153" s="7">
        <v>142</v>
      </c>
      <c r="L153" s="7">
        <v>21</v>
      </c>
      <c r="M153" s="13">
        <v>14280</v>
      </c>
      <c r="N153" s="15">
        <v>-9.1635377433091809E-3</v>
      </c>
      <c r="O153" s="16">
        <v>1.1904761904761905E-4</v>
      </c>
      <c r="P153" s="18">
        <v>1.9708535739070088E-4</v>
      </c>
      <c r="Q153" s="16">
        <v>1.4788732394366197E-3</v>
      </c>
      <c r="R153" s="13">
        <f>IF(Marketing!$L153=0, 0, Marketing!$M153/Marketing!$L153)</f>
        <v>680</v>
      </c>
      <c r="S153" s="13">
        <f>IF(Marketing!$J153=0,0,Marketing!$I153/Marketing!$J153)</f>
        <v>23.694517696044414</v>
      </c>
      <c r="T153" s="13">
        <f>IF(Marketing!$K153=0,0,Marketing!$I153/Marketing!$K153)</f>
        <v>1202.2464788732395</v>
      </c>
      <c r="U153" s="13">
        <f>Marketing!$M153 - Marketing!$I153</f>
        <v>-156439</v>
      </c>
      <c r="V153" s="13">
        <f>IF(Marketing!$L153=0,0,Marketing!$I153/Marketing!$L153)</f>
        <v>8129.4761904761908</v>
      </c>
      <c r="W153" s="7" t="str">
        <f>IF(ISNUMBER(SEARCH("tier1",Marketing!$E153)),"Tier 1","Tier 2")</f>
        <v>Tier 2</v>
      </c>
      <c r="X153" s="7" t="str">
        <f t="shared" si="2"/>
        <v>Tier 2</v>
      </c>
      <c r="Y153" s="7" t="str">
        <f>IF(WEEKDAY(Marketing!$D153,2)&lt;6,"Weekday","Weekend")</f>
        <v>Weekend</v>
      </c>
    </row>
    <row r="154" spans="1:25" x14ac:dyDescent="0.35">
      <c r="A154" s="5">
        <v>153</v>
      </c>
      <c r="B154" s="5" t="str">
        <f>TEXT(Marketing!$D154,"MMMM")</f>
        <v>February</v>
      </c>
      <c r="C154" s="5" t="str">
        <f>TEXT(Marketing!$D154,"DDDD")</f>
        <v>Sunday</v>
      </c>
      <c r="D154" s="6">
        <v>44241</v>
      </c>
      <c r="E154" s="5" t="s">
        <v>12</v>
      </c>
      <c r="F154" s="5" t="s">
        <v>7</v>
      </c>
      <c r="G154" s="5">
        <v>374754</v>
      </c>
      <c r="H154" s="5">
        <v>2429465</v>
      </c>
      <c r="I154" s="12">
        <v>205870</v>
      </c>
      <c r="J154" s="5">
        <v>17998</v>
      </c>
      <c r="K154" s="5">
        <v>354</v>
      </c>
      <c r="L154" s="5">
        <v>53</v>
      </c>
      <c r="M154" s="12">
        <v>306817</v>
      </c>
      <c r="N154" s="14">
        <v>4.9034342060523635E-3</v>
      </c>
      <c r="O154" s="16">
        <v>7.4082153889848171E-5</v>
      </c>
      <c r="P154" s="18">
        <v>1.9668852094677187E-4</v>
      </c>
      <c r="Q154" s="16">
        <v>1.497175141242938E-3</v>
      </c>
      <c r="R154" s="12">
        <f>IF(Marketing!$L154=0, 0, Marketing!$M154/Marketing!$L154)</f>
        <v>5789</v>
      </c>
      <c r="S154" s="12">
        <f>IF(Marketing!$J154=0,0,Marketing!$I154/Marketing!$J154)</f>
        <v>11.438493165907323</v>
      </c>
      <c r="T154" s="12">
        <f>IF(Marketing!$K154=0,0,Marketing!$I154/Marketing!$K154)</f>
        <v>581.55367231638422</v>
      </c>
      <c r="U154" s="12">
        <f>Marketing!$M154 - Marketing!$I154</f>
        <v>100947</v>
      </c>
      <c r="V154" s="12">
        <f>IF(Marketing!$L154=0,0,Marketing!$I154/Marketing!$L154)</f>
        <v>3884.3396226415093</v>
      </c>
      <c r="W154" s="5" t="str">
        <f>IF(ISNUMBER(SEARCH("tier1",Marketing!$E154)),"Tier 1","Tier 2")</f>
        <v>Tier 2</v>
      </c>
      <c r="X154" s="5" t="str">
        <f t="shared" si="2"/>
        <v>Tier 2</v>
      </c>
      <c r="Y154" s="5" t="str">
        <f>IF(WEEKDAY(Marketing!$D154,2)&lt;6,"Weekday","Weekend")</f>
        <v>Weekend</v>
      </c>
    </row>
    <row r="155" spans="1:25" x14ac:dyDescent="0.35">
      <c r="A155" s="7">
        <v>154</v>
      </c>
      <c r="B155" s="7" t="str">
        <f>TEXT(Marketing!$D155,"MMMM")</f>
        <v>February</v>
      </c>
      <c r="C155" s="7" t="str">
        <f>TEXT(Marketing!$D155,"DDDD")</f>
        <v>Sunday</v>
      </c>
      <c r="D155" s="8">
        <v>44241</v>
      </c>
      <c r="E155" s="7" t="s">
        <v>13</v>
      </c>
      <c r="F155" s="7" t="s">
        <v>14</v>
      </c>
      <c r="G155" s="7">
        <v>39889</v>
      </c>
      <c r="H155" s="7">
        <v>7218480</v>
      </c>
      <c r="I155" s="13">
        <v>225274</v>
      </c>
      <c r="J155" s="7">
        <v>25190</v>
      </c>
      <c r="K155" s="7">
        <v>504</v>
      </c>
      <c r="L155" s="7">
        <v>76</v>
      </c>
      <c r="M155" s="13">
        <v>236056</v>
      </c>
      <c r="N155" s="15">
        <v>4.7861715066985097E-4</v>
      </c>
      <c r="O155" s="16">
        <v>3.4896543316598505E-5</v>
      </c>
      <c r="P155" s="18">
        <v>2.0007939658594681E-4</v>
      </c>
      <c r="Q155" s="16">
        <v>1.5079365079365078E-3</v>
      </c>
      <c r="R155" s="13">
        <f>IF(Marketing!$L155=0, 0, Marketing!$M155/Marketing!$L155)</f>
        <v>3106</v>
      </c>
      <c r="S155" s="13">
        <f>IF(Marketing!$J155=0,0,Marketing!$I155/Marketing!$J155)</f>
        <v>8.9429932512901953</v>
      </c>
      <c r="T155" s="13">
        <f>IF(Marketing!$K155=0,0,Marketing!$I155/Marketing!$K155)</f>
        <v>446.97222222222223</v>
      </c>
      <c r="U155" s="13">
        <f>Marketing!$M155 - Marketing!$I155</f>
        <v>10782</v>
      </c>
      <c r="V155" s="13">
        <f>IF(Marketing!$L155=0,0,Marketing!$I155/Marketing!$L155)</f>
        <v>2964.1315789473683</v>
      </c>
      <c r="W155" s="7" t="str">
        <f>IF(ISNUMBER(SEARCH("tier1",Marketing!$E155)),"Tier 1","Tier 2")</f>
        <v>Tier 2</v>
      </c>
      <c r="X155" s="7" t="str">
        <f t="shared" si="2"/>
        <v>Tier 2</v>
      </c>
      <c r="Y155" s="7" t="str">
        <f>IF(WEEKDAY(Marketing!$D155,2)&lt;6,"Weekday","Weekend")</f>
        <v>Weekend</v>
      </c>
    </row>
    <row r="156" spans="1:25" x14ac:dyDescent="0.35">
      <c r="A156" s="5">
        <v>155</v>
      </c>
      <c r="B156" s="5" t="str">
        <f>TEXT(Marketing!$D156,"MMMM")</f>
        <v>February</v>
      </c>
      <c r="C156" s="5" t="str">
        <f>TEXT(Marketing!$D156,"DDDD")</f>
        <v>Monday</v>
      </c>
      <c r="D156" s="6">
        <v>44242</v>
      </c>
      <c r="E156" s="5" t="s">
        <v>1</v>
      </c>
      <c r="F156" s="5" t="s">
        <v>2</v>
      </c>
      <c r="G156" s="5">
        <v>349043</v>
      </c>
      <c r="H156" s="5">
        <v>3361800</v>
      </c>
      <c r="I156" s="12">
        <v>168064</v>
      </c>
      <c r="J156" s="5">
        <v>16809</v>
      </c>
      <c r="K156" s="5">
        <v>247</v>
      </c>
      <c r="L156" s="5">
        <v>30</v>
      </c>
      <c r="M156" s="12">
        <v>149430</v>
      </c>
      <c r="N156" s="14">
        <v>-1.1087442878903275E-3</v>
      </c>
      <c r="O156" s="16">
        <v>5.0000000000000002E-5</v>
      </c>
      <c r="P156" s="18">
        <v>1.4694508894044856E-4</v>
      </c>
      <c r="Q156" s="16">
        <v>1.2145748987854249E-3</v>
      </c>
      <c r="R156" s="12">
        <f>IF(Marketing!$L156=0, 0, Marketing!$M156/Marketing!$L156)</f>
        <v>4981</v>
      </c>
      <c r="S156" s="12">
        <f>IF(Marketing!$J156=0,0,Marketing!$I156/Marketing!$J156)</f>
        <v>9.9984532095901013</v>
      </c>
      <c r="T156" s="12">
        <f>IF(Marketing!$K156=0,0,Marketing!$I156/Marketing!$K156)</f>
        <v>680.42105263157896</v>
      </c>
      <c r="U156" s="12">
        <f>Marketing!$M156 - Marketing!$I156</f>
        <v>-18634</v>
      </c>
      <c r="V156" s="12">
        <f>IF(Marketing!$L156=0,0,Marketing!$I156/Marketing!$L156)</f>
        <v>5602.1333333333332</v>
      </c>
      <c r="W156" s="5" t="str">
        <f>IF(ISNUMBER(SEARCH("tier1",Marketing!$E156)),"Tier 1","Tier 2")</f>
        <v>Tier 1</v>
      </c>
      <c r="X156" s="5" t="str">
        <f t="shared" si="2"/>
        <v>Tier 1</v>
      </c>
      <c r="Y156" s="5" t="str">
        <f>IF(WEEKDAY(Marketing!$D156,2)&lt;6,"Weekday","Weekend")</f>
        <v>Weekday</v>
      </c>
    </row>
    <row r="157" spans="1:25" x14ac:dyDescent="0.35">
      <c r="A157" s="7">
        <v>156</v>
      </c>
      <c r="B157" s="7" t="str">
        <f>TEXT(Marketing!$D157,"MMMM")</f>
        <v>February</v>
      </c>
      <c r="C157" s="7" t="str">
        <f>TEXT(Marketing!$D157,"DDDD")</f>
        <v>Monday</v>
      </c>
      <c r="D157" s="8">
        <v>44242</v>
      </c>
      <c r="E157" s="7" t="s">
        <v>67</v>
      </c>
      <c r="F157" s="7" t="s">
        <v>2</v>
      </c>
      <c r="G157" s="7">
        <v>348934</v>
      </c>
      <c r="H157" s="7">
        <v>3441545</v>
      </c>
      <c r="I157" s="13">
        <v>593576</v>
      </c>
      <c r="J157" s="7">
        <v>23103</v>
      </c>
      <c r="K157" s="7">
        <v>694</v>
      </c>
      <c r="L157" s="7">
        <v>81</v>
      </c>
      <c r="M157" s="13">
        <v>403461</v>
      </c>
      <c r="N157" s="15">
        <v>-3.2028754531854388E-3</v>
      </c>
      <c r="O157" s="16">
        <v>6.7129733884054981E-5</v>
      </c>
      <c r="P157" s="18">
        <v>3.0039388823962257E-4</v>
      </c>
      <c r="Q157" s="16">
        <v>1.1671469740634005E-3</v>
      </c>
      <c r="R157" s="13">
        <f>IF(Marketing!$L157=0, 0, Marketing!$M157/Marketing!$L157)</f>
        <v>4981</v>
      </c>
      <c r="S157" s="13">
        <f>IF(Marketing!$J157=0,0,Marketing!$I157/Marketing!$J157)</f>
        <v>25.692594035406657</v>
      </c>
      <c r="T157" s="13">
        <f>IF(Marketing!$K157=0,0,Marketing!$I157/Marketing!$K157)</f>
        <v>855.29682997118152</v>
      </c>
      <c r="U157" s="13">
        <f>Marketing!$M157 - Marketing!$I157</f>
        <v>-190115</v>
      </c>
      <c r="V157" s="13">
        <f>IF(Marketing!$L157=0,0,Marketing!$I157/Marketing!$L157)</f>
        <v>7328.0987654320988</v>
      </c>
      <c r="W157" s="7" t="str">
        <f>IF(ISNUMBER(SEARCH("tier1",Marketing!$E157)),"Tier 1","Tier 2")</f>
        <v>Tier 2</v>
      </c>
      <c r="X157" s="7" t="str">
        <f t="shared" si="2"/>
        <v>Tier 2</v>
      </c>
      <c r="Y157" s="7" t="str">
        <f>IF(WEEKDAY(Marketing!$D157,2)&lt;6,"Weekday","Weekend")</f>
        <v>Weekday</v>
      </c>
    </row>
    <row r="158" spans="1:25" x14ac:dyDescent="0.35">
      <c r="A158" s="5">
        <v>157</v>
      </c>
      <c r="B158" s="5" t="str">
        <f>TEXT(Marketing!$D158,"MMMM")</f>
        <v>February</v>
      </c>
      <c r="C158" s="5" t="str">
        <f>TEXT(Marketing!$D158,"DDDD")</f>
        <v>Monday</v>
      </c>
      <c r="D158" s="6">
        <v>44242</v>
      </c>
      <c r="E158" s="5" t="s">
        <v>3</v>
      </c>
      <c r="F158" s="5" t="s">
        <v>4</v>
      </c>
      <c r="G158" s="5">
        <v>89459845</v>
      </c>
      <c r="H158" s="5">
        <v>315350</v>
      </c>
      <c r="I158" s="12">
        <v>82930.7</v>
      </c>
      <c r="J158" s="5">
        <v>6307</v>
      </c>
      <c r="K158" s="5">
        <v>126</v>
      </c>
      <c r="L158" s="5">
        <v>19</v>
      </c>
      <c r="M158" s="12">
        <v>138073</v>
      </c>
      <c r="N158" s="14">
        <v>6.6492022857638977E-3</v>
      </c>
      <c r="O158" s="16">
        <v>2.0000000000000001E-4</v>
      </c>
      <c r="P158" s="18">
        <v>1.997780244173141E-4</v>
      </c>
      <c r="Q158" s="16">
        <v>1.5079365079365078E-3</v>
      </c>
      <c r="R158" s="12">
        <f>IF(Marketing!$L158=0, 0, Marketing!$M158/Marketing!$L158)</f>
        <v>7267</v>
      </c>
      <c r="S158" s="12">
        <f>IF(Marketing!$J158=0,0,Marketing!$I158/Marketing!$J158)</f>
        <v>13.148993182178531</v>
      </c>
      <c r="T158" s="12">
        <f>IF(Marketing!$K158=0,0,Marketing!$I158/Marketing!$K158)</f>
        <v>658.18015873015872</v>
      </c>
      <c r="U158" s="12">
        <f>Marketing!$M158 - Marketing!$I158</f>
        <v>55142.3</v>
      </c>
      <c r="V158" s="12">
        <f>IF(Marketing!$L158=0,0,Marketing!$I158/Marketing!$L158)</f>
        <v>4364.773684210526</v>
      </c>
      <c r="W158" s="5" t="str">
        <f>IF(ISNUMBER(SEARCH("tier1",Marketing!$E158)),"Tier 1","Tier 2")</f>
        <v>Tier 2</v>
      </c>
      <c r="X158" s="5" t="str">
        <f t="shared" si="2"/>
        <v>Tier 2</v>
      </c>
      <c r="Y158" s="5" t="str">
        <f>IF(WEEKDAY(Marketing!$D158,2)&lt;6,"Weekday","Weekend")</f>
        <v>Weekday</v>
      </c>
    </row>
    <row r="159" spans="1:25" x14ac:dyDescent="0.35">
      <c r="A159" s="7">
        <v>158</v>
      </c>
      <c r="B159" s="7" t="str">
        <f>TEXT(Marketing!$D159,"MMMM")</f>
        <v>February</v>
      </c>
      <c r="C159" s="7" t="str">
        <f>TEXT(Marketing!$D159,"DDDD")</f>
        <v>Monday</v>
      </c>
      <c r="D159" s="8">
        <v>44242</v>
      </c>
      <c r="E159" s="7" t="s">
        <v>5</v>
      </c>
      <c r="F159" s="7" t="s">
        <v>4</v>
      </c>
      <c r="G159" s="7">
        <v>127823</v>
      </c>
      <c r="H159" s="7">
        <v>3359600</v>
      </c>
      <c r="I159" s="13">
        <v>124854</v>
      </c>
      <c r="J159" s="7">
        <v>16798</v>
      </c>
      <c r="K159" s="7">
        <v>336</v>
      </c>
      <c r="L159" s="7">
        <v>31</v>
      </c>
      <c r="M159" s="13">
        <v>92411</v>
      </c>
      <c r="N159" s="15">
        <v>-2.5984750188219842E-3</v>
      </c>
      <c r="O159" s="16">
        <v>5.0000000000000002E-5</v>
      </c>
      <c r="P159" s="18">
        <v>2.0002381235861413E-4</v>
      </c>
      <c r="Q159" s="16">
        <v>9.2261904761904766E-4</v>
      </c>
      <c r="R159" s="13">
        <f>IF(Marketing!$L159=0, 0, Marketing!$M159/Marketing!$L159)</f>
        <v>2981</v>
      </c>
      <c r="S159" s="13">
        <f>IF(Marketing!$J159=0,0,Marketing!$I159/Marketing!$J159)</f>
        <v>7.4326705560185733</v>
      </c>
      <c r="T159" s="13">
        <f>IF(Marketing!$K159=0,0,Marketing!$I159/Marketing!$K159)</f>
        <v>371.58928571428572</v>
      </c>
      <c r="U159" s="13">
        <f>Marketing!$M159 - Marketing!$I159</f>
        <v>-32443</v>
      </c>
      <c r="V159" s="13">
        <f>IF(Marketing!$L159=0,0,Marketing!$I159/Marketing!$L159)</f>
        <v>4027.5483870967741</v>
      </c>
      <c r="W159" s="7" t="str">
        <f>IF(ISNUMBER(SEARCH("tier1",Marketing!$E159)),"Tier 1","Tier 2")</f>
        <v>Tier 2</v>
      </c>
      <c r="X159" s="7" t="str">
        <f t="shared" si="2"/>
        <v>Tier 2</v>
      </c>
      <c r="Y159" s="7" t="str">
        <f>IF(WEEKDAY(Marketing!$D159,2)&lt;6,"Weekday","Weekend")</f>
        <v>Weekday</v>
      </c>
    </row>
    <row r="160" spans="1:25" x14ac:dyDescent="0.35">
      <c r="A160" s="5">
        <v>159</v>
      </c>
      <c r="B160" s="5" t="str">
        <f>TEXT(Marketing!$D160,"MMMM")</f>
        <v>February</v>
      </c>
      <c r="C160" s="5" t="str">
        <f>TEXT(Marketing!$D160,"DDDD")</f>
        <v>Monday</v>
      </c>
      <c r="D160" s="6">
        <v>44242</v>
      </c>
      <c r="E160" s="5" t="s">
        <v>6</v>
      </c>
      <c r="F160" s="5" t="s">
        <v>7</v>
      </c>
      <c r="G160" s="5">
        <v>10934</v>
      </c>
      <c r="H160" s="5">
        <v>2478877</v>
      </c>
      <c r="I160" s="12">
        <v>151480</v>
      </c>
      <c r="J160" s="5">
        <v>31504</v>
      </c>
      <c r="K160" s="5">
        <v>630</v>
      </c>
      <c r="L160" s="5">
        <v>98</v>
      </c>
      <c r="M160" s="12">
        <v>782138</v>
      </c>
      <c r="N160" s="14">
        <v>4.1633086876155273E-2</v>
      </c>
      <c r="O160" s="16">
        <v>1.2708980719898567E-4</v>
      </c>
      <c r="P160" s="18">
        <v>1.9997460639918741E-4</v>
      </c>
      <c r="Q160" s="16">
        <v>1.5555555555555557E-3</v>
      </c>
      <c r="R160" s="12">
        <f>IF(Marketing!$L160=0, 0, Marketing!$M160/Marketing!$L160)</f>
        <v>7981</v>
      </c>
      <c r="S160" s="12">
        <f>IF(Marketing!$J160=0,0,Marketing!$I160/Marketing!$J160)</f>
        <v>4.8082783138649061</v>
      </c>
      <c r="T160" s="12">
        <f>IF(Marketing!$K160=0,0,Marketing!$I160/Marketing!$K160)</f>
        <v>240.44444444444446</v>
      </c>
      <c r="U160" s="12">
        <f>Marketing!$M160 - Marketing!$I160</f>
        <v>630658</v>
      </c>
      <c r="V160" s="12">
        <f>IF(Marketing!$L160=0,0,Marketing!$I160/Marketing!$L160)</f>
        <v>1545.7142857142858</v>
      </c>
      <c r="W160" s="5" t="str">
        <f>IF(ISNUMBER(SEARCH("tier1",Marketing!$E160)),"Tier 1","Tier 2")</f>
        <v>Tier 2</v>
      </c>
      <c r="X160" s="5" t="str">
        <f t="shared" si="2"/>
        <v>Tier 2</v>
      </c>
      <c r="Y160" s="5" t="str">
        <f>IF(WEEKDAY(Marketing!$D160,2)&lt;6,"Weekday","Weekend")</f>
        <v>Weekday</v>
      </c>
    </row>
    <row r="161" spans="1:25" x14ac:dyDescent="0.35">
      <c r="A161" s="7">
        <v>160</v>
      </c>
      <c r="B161" s="7" t="str">
        <f>TEXT(Marketing!$D161,"MMMM")</f>
        <v>February</v>
      </c>
      <c r="C161" s="7" t="str">
        <f>TEXT(Marketing!$D161,"DDDD")</f>
        <v>Monday</v>
      </c>
      <c r="D161" s="8">
        <v>44242</v>
      </c>
      <c r="E161" s="7" t="s">
        <v>8</v>
      </c>
      <c r="F161" s="7" t="s">
        <v>2</v>
      </c>
      <c r="G161" s="7">
        <v>9034945</v>
      </c>
      <c r="H161" s="7">
        <v>3780200</v>
      </c>
      <c r="I161" s="13">
        <v>136269</v>
      </c>
      <c r="J161" s="7">
        <v>18901</v>
      </c>
      <c r="K161" s="7">
        <v>378</v>
      </c>
      <c r="L161" s="7">
        <v>45</v>
      </c>
      <c r="M161" s="13">
        <v>269145</v>
      </c>
      <c r="N161" s="15">
        <v>9.7510071989961034E-3</v>
      </c>
      <c r="O161" s="16">
        <v>5.0000000000000002E-5</v>
      </c>
      <c r="P161" s="18">
        <v>1.9998941854928312E-4</v>
      </c>
      <c r="Q161" s="16">
        <v>1.1904761904761904E-3</v>
      </c>
      <c r="R161" s="13">
        <f>IF(Marketing!$L161=0, 0, Marketing!$M161/Marketing!$L161)</f>
        <v>5981</v>
      </c>
      <c r="S161" s="13">
        <f>IF(Marketing!$J161=0,0,Marketing!$I161/Marketing!$J161)</f>
        <v>7.2096185387016556</v>
      </c>
      <c r="T161" s="13">
        <f>IF(Marketing!$K161=0,0,Marketing!$I161/Marketing!$K161)</f>
        <v>360.5</v>
      </c>
      <c r="U161" s="13">
        <f>Marketing!$M161 - Marketing!$I161</f>
        <v>132876</v>
      </c>
      <c r="V161" s="13">
        <f>IF(Marketing!$L161=0,0,Marketing!$I161/Marketing!$L161)</f>
        <v>3028.2</v>
      </c>
      <c r="W161" s="7" t="str">
        <f>IF(ISNUMBER(SEARCH("tier1",Marketing!$E161)),"Tier 1","Tier 2")</f>
        <v>Tier 1</v>
      </c>
      <c r="X161" s="7" t="str">
        <f t="shared" si="2"/>
        <v>Tier 1</v>
      </c>
      <c r="Y161" s="7" t="str">
        <f>IF(WEEKDAY(Marketing!$D161,2)&lt;6,"Weekday","Weekend")</f>
        <v>Weekday</v>
      </c>
    </row>
    <row r="162" spans="1:25" x14ac:dyDescent="0.35">
      <c r="A162" s="5">
        <v>161</v>
      </c>
      <c r="B162" s="5" t="str">
        <f>TEXT(Marketing!$D162,"MMMM")</f>
        <v>February</v>
      </c>
      <c r="C162" s="5" t="str">
        <f>TEXT(Marketing!$D162,"DDDD")</f>
        <v>Monday</v>
      </c>
      <c r="D162" s="6">
        <v>44242</v>
      </c>
      <c r="E162" s="5" t="s">
        <v>9</v>
      </c>
      <c r="F162" s="5" t="s">
        <v>2</v>
      </c>
      <c r="G162" s="5">
        <v>983498</v>
      </c>
      <c r="H162" s="5">
        <v>7138400</v>
      </c>
      <c r="I162" s="12">
        <v>37098.6</v>
      </c>
      <c r="J162" s="5">
        <v>35692</v>
      </c>
      <c r="K162" s="5">
        <v>916</v>
      </c>
      <c r="L162" s="5">
        <v>11</v>
      </c>
      <c r="M162" s="12">
        <v>21791</v>
      </c>
      <c r="N162" s="14">
        <v>-4.1261934412619343E-3</v>
      </c>
      <c r="O162" s="16">
        <v>5.0000000000000002E-5</v>
      </c>
      <c r="P162" s="18">
        <v>2.566401434495125E-4</v>
      </c>
      <c r="Q162" s="16">
        <v>1.2008733624454149E-4</v>
      </c>
      <c r="R162" s="12">
        <f>IF(Marketing!$L162=0, 0, Marketing!$M162/Marketing!$L162)</f>
        <v>1981</v>
      </c>
      <c r="S162" s="12">
        <f>IF(Marketing!$J162=0,0,Marketing!$I162/Marketing!$J162)</f>
        <v>1.0394093914602711</v>
      </c>
      <c r="T162" s="12">
        <f>IF(Marketing!$K162=0,0,Marketing!$I162/Marketing!$K162)</f>
        <v>40.500655021834056</v>
      </c>
      <c r="U162" s="12">
        <f>Marketing!$M162 - Marketing!$I162</f>
        <v>-15307.599999999999</v>
      </c>
      <c r="V162" s="12">
        <f>IF(Marketing!$L162=0,0,Marketing!$I162/Marketing!$L162)</f>
        <v>3372.6</v>
      </c>
      <c r="W162" s="5" t="str">
        <f>IF(ISNUMBER(SEARCH("tier1",Marketing!$E162)),"Tier 1","Tier 2")</f>
        <v>Tier 2</v>
      </c>
      <c r="X162" s="5" t="str">
        <f t="shared" si="2"/>
        <v>Tier 2</v>
      </c>
      <c r="Y162" s="5" t="str">
        <f>IF(WEEKDAY(Marketing!$D162,2)&lt;6,"Weekday","Weekend")</f>
        <v>Weekday</v>
      </c>
    </row>
    <row r="163" spans="1:25" x14ac:dyDescent="0.35">
      <c r="A163" s="7">
        <v>162</v>
      </c>
      <c r="B163" s="7" t="str">
        <f>TEXT(Marketing!$D163,"MMMM")</f>
        <v>February</v>
      </c>
      <c r="C163" s="7" t="str">
        <f>TEXT(Marketing!$D163,"DDDD")</f>
        <v>Monday</v>
      </c>
      <c r="D163" s="8">
        <v>44242</v>
      </c>
      <c r="E163" s="7" t="s">
        <v>10</v>
      </c>
      <c r="F163" s="7" t="s">
        <v>2</v>
      </c>
      <c r="G163" s="7">
        <v>4387490</v>
      </c>
      <c r="H163" s="7">
        <v>63986</v>
      </c>
      <c r="I163" s="13">
        <v>14609.5</v>
      </c>
      <c r="J163" s="7">
        <v>2099</v>
      </c>
      <c r="K163" s="7">
        <v>28</v>
      </c>
      <c r="L163" s="7">
        <v>5</v>
      </c>
      <c r="M163" s="13">
        <v>24905</v>
      </c>
      <c r="N163" s="15">
        <v>7.0471268695027215E-3</v>
      </c>
      <c r="O163" s="16">
        <v>3.2804050886131342E-4</v>
      </c>
      <c r="P163" s="18">
        <v>1.333968556455455E-4</v>
      </c>
      <c r="Q163" s="16">
        <v>1.7857142857142857E-3</v>
      </c>
      <c r="R163" s="13">
        <f>IF(Marketing!$L163=0, 0, Marketing!$M163/Marketing!$L163)</f>
        <v>4981</v>
      </c>
      <c r="S163" s="13">
        <f>IF(Marketing!$J163=0,0,Marketing!$I163/Marketing!$J163)</f>
        <v>6.9602191519771317</v>
      </c>
      <c r="T163" s="13">
        <f>IF(Marketing!$K163=0,0,Marketing!$I163/Marketing!$K163)</f>
        <v>521.76785714285711</v>
      </c>
      <c r="U163" s="13">
        <f>Marketing!$M163 - Marketing!$I163</f>
        <v>10295.5</v>
      </c>
      <c r="V163" s="13">
        <f>IF(Marketing!$L163=0,0,Marketing!$I163/Marketing!$L163)</f>
        <v>2921.9</v>
      </c>
      <c r="W163" s="7" t="str">
        <f>IF(ISNUMBER(SEARCH("tier1",Marketing!$E163)),"Tier 1","Tier 2")</f>
        <v>Tier 2</v>
      </c>
      <c r="X163" s="7" t="str">
        <f t="shared" si="2"/>
        <v>Tier 2</v>
      </c>
      <c r="Y163" s="7" t="str">
        <f>IF(WEEKDAY(Marketing!$D163,2)&lt;6,"Weekday","Weekend")</f>
        <v>Weekday</v>
      </c>
    </row>
    <row r="164" spans="1:25" x14ac:dyDescent="0.35">
      <c r="A164" s="5">
        <v>163</v>
      </c>
      <c r="B164" s="5" t="str">
        <f>TEXT(Marketing!$D164,"MMMM")</f>
        <v>February</v>
      </c>
      <c r="C164" s="5" t="str">
        <f>TEXT(Marketing!$D164,"DDDD")</f>
        <v>Monday</v>
      </c>
      <c r="D164" s="6">
        <v>44242</v>
      </c>
      <c r="E164" s="5" t="s">
        <v>11</v>
      </c>
      <c r="F164" s="5" t="s">
        <v>2</v>
      </c>
      <c r="G164" s="5">
        <v>544756</v>
      </c>
      <c r="H164" s="5">
        <v>1093435</v>
      </c>
      <c r="I164" s="12">
        <v>6587.76</v>
      </c>
      <c r="J164" s="5">
        <v>8402</v>
      </c>
      <c r="K164" s="5">
        <v>4</v>
      </c>
      <c r="L164" s="5">
        <v>1</v>
      </c>
      <c r="M164" s="12">
        <v>741</v>
      </c>
      <c r="N164" s="14">
        <v>-8.8751867098983573E-3</v>
      </c>
      <c r="O164" s="16">
        <v>7.6840415754022873E-5</v>
      </c>
      <c r="P164" s="18">
        <v>4.7607712449416809E-6</v>
      </c>
      <c r="Q164" s="16">
        <v>2.5000000000000001E-3</v>
      </c>
      <c r="R164" s="12">
        <f>IF(Marketing!$L164=0, 0, Marketing!$M164/Marketing!$L164)</f>
        <v>741</v>
      </c>
      <c r="S164" s="12">
        <f>IF(Marketing!$J164=0,0,Marketing!$I164/Marketing!$J164)</f>
        <v>0.78407045941442521</v>
      </c>
      <c r="T164" s="12">
        <f>IF(Marketing!$K164=0,0,Marketing!$I164/Marketing!$K164)</f>
        <v>1646.94</v>
      </c>
      <c r="U164" s="12">
        <f>Marketing!$M164 - Marketing!$I164</f>
        <v>-5846.76</v>
      </c>
      <c r="V164" s="12">
        <f>IF(Marketing!$L164=0,0,Marketing!$I164/Marketing!$L164)</f>
        <v>6587.76</v>
      </c>
      <c r="W164" s="5" t="str">
        <f>IF(ISNUMBER(SEARCH("tier1",Marketing!$E164)),"Tier 1","Tier 2")</f>
        <v>Tier 2</v>
      </c>
      <c r="X164" s="5" t="str">
        <f t="shared" si="2"/>
        <v>Tier 2</v>
      </c>
      <c r="Y164" s="5" t="str">
        <f>IF(WEEKDAY(Marketing!$D164,2)&lt;6,"Weekday","Weekend")</f>
        <v>Weekday</v>
      </c>
    </row>
    <row r="165" spans="1:25" x14ac:dyDescent="0.35">
      <c r="A165" s="7">
        <v>164</v>
      </c>
      <c r="B165" s="7" t="str">
        <f>TEXT(Marketing!$D165,"MMMM")</f>
        <v>February</v>
      </c>
      <c r="C165" s="7" t="str">
        <f>TEXT(Marketing!$D165,"DDDD")</f>
        <v>Monday</v>
      </c>
      <c r="D165" s="8">
        <v>44242</v>
      </c>
      <c r="E165" s="7" t="s">
        <v>12</v>
      </c>
      <c r="F165" s="7" t="s">
        <v>7</v>
      </c>
      <c r="G165" s="7">
        <v>374754</v>
      </c>
      <c r="H165" s="7">
        <v>2100700</v>
      </c>
      <c r="I165" s="13">
        <v>82452</v>
      </c>
      <c r="J165" s="7">
        <v>21007</v>
      </c>
      <c r="K165" s="7">
        <v>122</v>
      </c>
      <c r="L165" s="7">
        <v>24</v>
      </c>
      <c r="M165" s="13">
        <v>103392</v>
      </c>
      <c r="N165" s="15">
        <v>2.5396594382186E-3</v>
      </c>
      <c r="O165" s="16">
        <v>1E-4</v>
      </c>
      <c r="P165" s="18">
        <v>5.8075879468748514E-5</v>
      </c>
      <c r="Q165" s="16">
        <v>1.9672131147540984E-3</v>
      </c>
      <c r="R165" s="13">
        <f>IF(Marketing!$L165=0, 0, Marketing!$M165/Marketing!$L165)</f>
        <v>4308</v>
      </c>
      <c r="S165" s="13">
        <f>IF(Marketing!$J165=0,0,Marketing!$I165/Marketing!$J165)</f>
        <v>3.9249773884895509</v>
      </c>
      <c r="T165" s="13">
        <f>IF(Marketing!$K165=0,0,Marketing!$I165/Marketing!$K165)</f>
        <v>675.8360655737705</v>
      </c>
      <c r="U165" s="13">
        <f>Marketing!$M165 - Marketing!$I165</f>
        <v>20940</v>
      </c>
      <c r="V165" s="13">
        <f>IF(Marketing!$L165=0,0,Marketing!$I165/Marketing!$L165)</f>
        <v>3435.5</v>
      </c>
      <c r="W165" s="7" t="str">
        <f>IF(ISNUMBER(SEARCH("tier1",Marketing!$E165)),"Tier 1","Tier 2")</f>
        <v>Tier 2</v>
      </c>
      <c r="X165" s="7" t="str">
        <f t="shared" si="2"/>
        <v>Tier 2</v>
      </c>
      <c r="Y165" s="7" t="str">
        <f>IF(WEEKDAY(Marketing!$D165,2)&lt;6,"Weekday","Weekend")</f>
        <v>Weekday</v>
      </c>
    </row>
    <row r="166" spans="1:25" x14ac:dyDescent="0.35">
      <c r="A166" s="5">
        <v>165</v>
      </c>
      <c r="B166" s="5" t="str">
        <f>TEXT(Marketing!$D166,"MMMM")</f>
        <v>February</v>
      </c>
      <c r="C166" s="5" t="str">
        <f>TEXT(Marketing!$D166,"DDDD")</f>
        <v>Monday</v>
      </c>
      <c r="D166" s="6">
        <v>44242</v>
      </c>
      <c r="E166" s="5" t="s">
        <v>13</v>
      </c>
      <c r="F166" s="5" t="s">
        <v>14</v>
      </c>
      <c r="G166" s="5">
        <v>39889</v>
      </c>
      <c r="H166" s="5">
        <v>8747458</v>
      </c>
      <c r="I166" s="12">
        <v>543275</v>
      </c>
      <c r="J166" s="5">
        <v>29390</v>
      </c>
      <c r="K166" s="5">
        <v>1061</v>
      </c>
      <c r="L166" s="5">
        <v>171</v>
      </c>
      <c r="M166" s="12">
        <v>809685</v>
      </c>
      <c r="N166" s="14">
        <v>4.9037780129768532E-3</v>
      </c>
      <c r="O166" s="16">
        <v>3.3598332224058694E-5</v>
      </c>
      <c r="P166" s="18">
        <v>3.6100714528751276E-4</v>
      </c>
      <c r="Q166" s="16">
        <v>1.6116870876531574E-3</v>
      </c>
      <c r="R166" s="12">
        <f>IF(Marketing!$L166=0, 0, Marketing!$M166/Marketing!$L166)</f>
        <v>4735</v>
      </c>
      <c r="S166" s="12">
        <f>IF(Marketing!$J166=0,0,Marketing!$I166/Marketing!$J166)</f>
        <v>18.485028921401838</v>
      </c>
      <c r="T166" s="12">
        <f>IF(Marketing!$K166=0,0,Marketing!$I166/Marketing!$K166)</f>
        <v>512.04052780395853</v>
      </c>
      <c r="U166" s="12">
        <f>Marketing!$M166 - Marketing!$I166</f>
        <v>266410</v>
      </c>
      <c r="V166" s="12">
        <f>IF(Marketing!$L166=0,0,Marketing!$I166/Marketing!$L166)</f>
        <v>3177.0467836257308</v>
      </c>
      <c r="W166" s="5" t="str">
        <f>IF(ISNUMBER(SEARCH("tier1",Marketing!$E166)),"Tier 1","Tier 2")</f>
        <v>Tier 2</v>
      </c>
      <c r="X166" s="5" t="str">
        <f t="shared" si="2"/>
        <v>Tier 2</v>
      </c>
      <c r="Y166" s="5" t="str">
        <f>IF(WEEKDAY(Marketing!$D166,2)&lt;6,"Weekday","Weekend")</f>
        <v>Weekday</v>
      </c>
    </row>
    <row r="167" spans="1:25" x14ac:dyDescent="0.35">
      <c r="A167" s="7">
        <v>166</v>
      </c>
      <c r="B167" s="7" t="str">
        <f>TEXT(Marketing!$D167,"MMMM")</f>
        <v>February</v>
      </c>
      <c r="C167" s="7" t="str">
        <f>TEXT(Marketing!$D167,"DDDD")</f>
        <v>Tuesday</v>
      </c>
      <c r="D167" s="8">
        <v>44243</v>
      </c>
      <c r="E167" s="7" t="s">
        <v>1</v>
      </c>
      <c r="F167" s="7" t="s">
        <v>2</v>
      </c>
      <c r="G167" s="7">
        <v>349043</v>
      </c>
      <c r="H167" s="7">
        <v>3839000</v>
      </c>
      <c r="I167" s="13">
        <v>393027</v>
      </c>
      <c r="J167" s="7">
        <v>19195</v>
      </c>
      <c r="K167" s="7">
        <v>384</v>
      </c>
      <c r="L167" s="7">
        <v>64</v>
      </c>
      <c r="M167" s="13">
        <v>336448</v>
      </c>
      <c r="N167" s="15">
        <v>-1.4395703094189458E-3</v>
      </c>
      <c r="O167" s="16">
        <v>5.0000000000000002E-5</v>
      </c>
      <c r="P167" s="18">
        <v>2.0005209690023443E-4</v>
      </c>
      <c r="Q167" s="16">
        <v>1.6666666666666666E-3</v>
      </c>
      <c r="R167" s="13">
        <f>IF(Marketing!$L167=0, 0, Marketing!$M167/Marketing!$L167)</f>
        <v>5257</v>
      </c>
      <c r="S167" s="13">
        <f>IF(Marketing!$J167=0,0,Marketing!$I167/Marketing!$J167)</f>
        <v>20.475488408439698</v>
      </c>
      <c r="T167" s="13">
        <f>IF(Marketing!$K167=0,0,Marketing!$I167/Marketing!$K167)</f>
        <v>1023.5078125</v>
      </c>
      <c r="U167" s="13">
        <f>Marketing!$M167 - Marketing!$I167</f>
        <v>-56579</v>
      </c>
      <c r="V167" s="13">
        <f>IF(Marketing!$L167=0,0,Marketing!$I167/Marketing!$L167)</f>
        <v>6141.046875</v>
      </c>
      <c r="W167" s="7" t="str">
        <f>IF(ISNUMBER(SEARCH("tier1",Marketing!$E167)),"Tier 1","Tier 2")</f>
        <v>Tier 1</v>
      </c>
      <c r="X167" s="7" t="str">
        <f t="shared" si="2"/>
        <v>Tier 1</v>
      </c>
      <c r="Y167" s="7" t="str">
        <f>IF(WEEKDAY(Marketing!$D167,2)&lt;6,"Weekday","Weekend")</f>
        <v>Weekday</v>
      </c>
    </row>
    <row r="168" spans="1:25" x14ac:dyDescent="0.35">
      <c r="A168" s="5">
        <v>167</v>
      </c>
      <c r="B168" s="5" t="str">
        <f>TEXT(Marketing!$D168,"MMMM")</f>
        <v>February</v>
      </c>
      <c r="C168" s="5" t="str">
        <f>TEXT(Marketing!$D168,"DDDD")</f>
        <v>Tuesday</v>
      </c>
      <c r="D168" s="6">
        <v>44243</v>
      </c>
      <c r="E168" s="7" t="s">
        <v>67</v>
      </c>
      <c r="F168" s="5" t="s">
        <v>2</v>
      </c>
      <c r="G168" s="5">
        <v>348934</v>
      </c>
      <c r="H168" s="5">
        <v>5280000</v>
      </c>
      <c r="I168" s="12">
        <v>595176</v>
      </c>
      <c r="J168" s="5">
        <v>26400</v>
      </c>
      <c r="K168" s="5">
        <v>923</v>
      </c>
      <c r="L168" s="5">
        <v>80</v>
      </c>
      <c r="M168" s="12">
        <v>392160</v>
      </c>
      <c r="N168" s="14">
        <v>-3.4110246380902455E-3</v>
      </c>
      <c r="O168" s="16">
        <v>5.0000000000000002E-5</v>
      </c>
      <c r="P168" s="18">
        <v>3.4962121212121213E-4</v>
      </c>
      <c r="Q168" s="16">
        <v>8.6673889490790899E-4</v>
      </c>
      <c r="R168" s="12">
        <f>IF(Marketing!$L168=0, 0, Marketing!$M168/Marketing!$L168)</f>
        <v>4902</v>
      </c>
      <c r="S168" s="12">
        <f>IF(Marketing!$J168=0,0,Marketing!$I168/Marketing!$J168)</f>
        <v>22.544545454545453</v>
      </c>
      <c r="T168" s="12">
        <f>IF(Marketing!$K168=0,0,Marketing!$I168/Marketing!$K168)</f>
        <v>644.82773564463707</v>
      </c>
      <c r="U168" s="12">
        <f>Marketing!$M168 - Marketing!$I168</f>
        <v>-203016</v>
      </c>
      <c r="V168" s="12">
        <f>IF(Marketing!$L168=0,0,Marketing!$I168/Marketing!$L168)</f>
        <v>7439.7</v>
      </c>
      <c r="W168" s="5" t="str">
        <f>IF(ISNUMBER(SEARCH("tier1",Marketing!$E168)),"Tier 1","Tier 2")</f>
        <v>Tier 2</v>
      </c>
      <c r="X168" s="5" t="str">
        <f t="shared" si="2"/>
        <v>Tier 2</v>
      </c>
      <c r="Y168" s="5" t="str">
        <f>IF(WEEKDAY(Marketing!$D168,2)&lt;6,"Weekday","Weekend")</f>
        <v>Weekday</v>
      </c>
    </row>
    <row r="169" spans="1:25" x14ac:dyDescent="0.35">
      <c r="A169" s="7">
        <v>168</v>
      </c>
      <c r="B169" s="7" t="str">
        <f>TEXT(Marketing!$D169,"MMMM")</f>
        <v>February</v>
      </c>
      <c r="C169" s="7" t="str">
        <f>TEXT(Marketing!$D169,"DDDD")</f>
        <v>Tuesday</v>
      </c>
      <c r="D169" s="8">
        <v>44243</v>
      </c>
      <c r="E169" s="7" t="s">
        <v>3</v>
      </c>
      <c r="F169" s="7" t="s">
        <v>4</v>
      </c>
      <c r="G169" s="7">
        <v>89459845</v>
      </c>
      <c r="H169" s="7">
        <v>373184</v>
      </c>
      <c r="I169" s="13">
        <v>102053</v>
      </c>
      <c r="J169" s="7">
        <v>7198</v>
      </c>
      <c r="K169" s="7">
        <v>144</v>
      </c>
      <c r="L169" s="7">
        <v>22</v>
      </c>
      <c r="M169" s="13">
        <v>185482</v>
      </c>
      <c r="N169" s="15">
        <v>8.1750658971318831E-3</v>
      </c>
      <c r="O169" s="16">
        <v>1.9288072371805864E-4</v>
      </c>
      <c r="P169" s="18">
        <v>2.0005557099194219E-4</v>
      </c>
      <c r="Q169" s="16">
        <v>1.5277777777777779E-3</v>
      </c>
      <c r="R169" s="13">
        <f>IF(Marketing!$L169=0, 0, Marketing!$M169/Marketing!$L169)</f>
        <v>8431</v>
      </c>
      <c r="S169" s="13">
        <f>IF(Marketing!$J169=0,0,Marketing!$I169/Marketing!$J169)</f>
        <v>14.177966101694915</v>
      </c>
      <c r="T169" s="13">
        <f>IF(Marketing!$K169=0,0,Marketing!$I169/Marketing!$K169)</f>
        <v>708.70138888888891</v>
      </c>
      <c r="U169" s="13">
        <f>Marketing!$M169 - Marketing!$I169</f>
        <v>83429</v>
      </c>
      <c r="V169" s="13">
        <f>IF(Marketing!$L169=0,0,Marketing!$I169/Marketing!$L169)</f>
        <v>4638.772727272727</v>
      </c>
      <c r="W169" s="7" t="str">
        <f>IF(ISNUMBER(SEARCH("tier1",Marketing!$E169)),"Tier 1","Tier 2")</f>
        <v>Tier 2</v>
      </c>
      <c r="X169" s="7" t="str">
        <f t="shared" si="2"/>
        <v>Tier 2</v>
      </c>
      <c r="Y169" s="7" t="str">
        <f>IF(WEEKDAY(Marketing!$D169,2)&lt;6,"Weekday","Weekend")</f>
        <v>Weekday</v>
      </c>
    </row>
    <row r="170" spans="1:25" x14ac:dyDescent="0.35">
      <c r="A170" s="5">
        <v>169</v>
      </c>
      <c r="B170" s="5" t="str">
        <f>TEXT(Marketing!$D170,"MMMM")</f>
        <v>February</v>
      </c>
      <c r="C170" s="5" t="str">
        <f>TEXT(Marketing!$D170,"DDDD")</f>
        <v>Tuesday</v>
      </c>
      <c r="D170" s="6">
        <v>44243</v>
      </c>
      <c r="E170" s="5" t="s">
        <v>5</v>
      </c>
      <c r="F170" s="5" t="s">
        <v>4</v>
      </c>
      <c r="G170" s="5">
        <v>127823</v>
      </c>
      <c r="H170" s="5">
        <v>3841400</v>
      </c>
      <c r="I170" s="12">
        <v>271906</v>
      </c>
      <c r="J170" s="5">
        <v>19207</v>
      </c>
      <c r="K170" s="5">
        <v>666</v>
      </c>
      <c r="L170" s="5">
        <v>67</v>
      </c>
      <c r="M170" s="12">
        <v>199727</v>
      </c>
      <c r="N170" s="14">
        <v>-2.6545570895824292E-3</v>
      </c>
      <c r="O170" s="16">
        <v>5.0000000000000002E-5</v>
      </c>
      <c r="P170" s="18">
        <v>3.4674858124642059E-4</v>
      </c>
      <c r="Q170" s="16">
        <v>1.0060060060060058E-3</v>
      </c>
      <c r="R170" s="12">
        <f>IF(Marketing!$L170=0, 0, Marketing!$M170/Marketing!$L170)</f>
        <v>2981</v>
      </c>
      <c r="S170" s="12">
        <f>IF(Marketing!$J170=0,0,Marketing!$I170/Marketing!$J170)</f>
        <v>14.156609569427813</v>
      </c>
      <c r="T170" s="12">
        <f>IF(Marketing!$K170=0,0,Marketing!$I170/Marketing!$K170)</f>
        <v>408.26726726726724</v>
      </c>
      <c r="U170" s="12">
        <f>Marketing!$M170 - Marketing!$I170</f>
        <v>-72179</v>
      </c>
      <c r="V170" s="12">
        <f>IF(Marketing!$L170=0,0,Marketing!$I170/Marketing!$L170)</f>
        <v>4058.2985074626868</v>
      </c>
      <c r="W170" s="5" t="str">
        <f>IF(ISNUMBER(SEARCH("tier1",Marketing!$E170)),"Tier 1","Tier 2")</f>
        <v>Tier 2</v>
      </c>
      <c r="X170" s="5" t="str">
        <f t="shared" si="2"/>
        <v>Tier 2</v>
      </c>
      <c r="Y170" s="5" t="str">
        <f>IF(WEEKDAY(Marketing!$D170,2)&lt;6,"Weekday","Weekend")</f>
        <v>Weekday</v>
      </c>
    </row>
    <row r="171" spans="1:25" x14ac:dyDescent="0.35">
      <c r="A171" s="7">
        <v>170</v>
      </c>
      <c r="B171" s="7" t="str">
        <f>TEXT(Marketing!$D171,"MMMM")</f>
        <v>February</v>
      </c>
      <c r="C171" s="7" t="str">
        <f>TEXT(Marketing!$D171,"DDDD")</f>
        <v>Tuesday</v>
      </c>
      <c r="D171" s="8">
        <v>44243</v>
      </c>
      <c r="E171" s="7" t="s">
        <v>6</v>
      </c>
      <c r="F171" s="7" t="s">
        <v>7</v>
      </c>
      <c r="G171" s="7">
        <v>10934</v>
      </c>
      <c r="H171" s="7">
        <v>4371118</v>
      </c>
      <c r="I171" s="13">
        <v>221258</v>
      </c>
      <c r="J171" s="7">
        <v>35999</v>
      </c>
      <c r="K171" s="7">
        <v>720</v>
      </c>
      <c r="L171" s="7">
        <v>128</v>
      </c>
      <c r="M171" s="13">
        <v>1021570</v>
      </c>
      <c r="N171" s="15">
        <v>3.6170985907854176E-2</v>
      </c>
      <c r="O171" s="16">
        <v>8.235650467454778E-5</v>
      </c>
      <c r="P171" s="18">
        <v>2.0000555570988084E-4</v>
      </c>
      <c r="Q171" s="16">
        <v>1.7777777777777779E-3</v>
      </c>
      <c r="R171" s="13">
        <f>IF(Marketing!$L171=0, 0, Marketing!$M171/Marketing!$L171)</f>
        <v>7981.015625</v>
      </c>
      <c r="S171" s="13">
        <f>IF(Marketing!$J171=0,0,Marketing!$I171/Marketing!$J171)</f>
        <v>6.1462262840634461</v>
      </c>
      <c r="T171" s="13">
        <f>IF(Marketing!$K171=0,0,Marketing!$I171/Marketing!$K171)</f>
        <v>307.30277777777781</v>
      </c>
      <c r="U171" s="13">
        <f>Marketing!$M171 - Marketing!$I171</f>
        <v>800312</v>
      </c>
      <c r="V171" s="13">
        <f>IF(Marketing!$L171=0,0,Marketing!$I171/Marketing!$L171)</f>
        <v>1728.578125</v>
      </c>
      <c r="W171" s="7" t="str">
        <f>IF(ISNUMBER(SEARCH("tier1",Marketing!$E171)),"Tier 1","Tier 2")</f>
        <v>Tier 2</v>
      </c>
      <c r="X171" s="7" t="str">
        <f t="shared" si="2"/>
        <v>Tier 2</v>
      </c>
      <c r="Y171" s="7" t="str">
        <f>IF(WEEKDAY(Marketing!$D171,2)&lt;6,"Weekday","Weekend")</f>
        <v>Weekday</v>
      </c>
    </row>
    <row r="172" spans="1:25" x14ac:dyDescent="0.35">
      <c r="A172" s="5">
        <v>171</v>
      </c>
      <c r="B172" s="5" t="str">
        <f>TEXT(Marketing!$D172,"MMMM")</f>
        <v>February</v>
      </c>
      <c r="C172" s="5" t="str">
        <f>TEXT(Marketing!$D172,"DDDD")</f>
        <v>Tuesday</v>
      </c>
      <c r="D172" s="6">
        <v>44243</v>
      </c>
      <c r="E172" s="5" t="s">
        <v>8</v>
      </c>
      <c r="F172" s="5" t="s">
        <v>2</v>
      </c>
      <c r="G172" s="5">
        <v>9034945</v>
      </c>
      <c r="H172" s="5">
        <v>4319200</v>
      </c>
      <c r="I172" s="12">
        <v>143680</v>
      </c>
      <c r="J172" s="5">
        <v>21596</v>
      </c>
      <c r="K172" s="5">
        <v>432</v>
      </c>
      <c r="L172" s="5">
        <v>34</v>
      </c>
      <c r="M172" s="12">
        <v>171972</v>
      </c>
      <c r="N172" s="14">
        <v>1.9690979955456571E-3</v>
      </c>
      <c r="O172" s="16">
        <v>5.0000000000000002E-5</v>
      </c>
      <c r="P172" s="18">
        <v>2.0003704389701796E-4</v>
      </c>
      <c r="Q172" s="16">
        <v>7.8703703703703705E-4</v>
      </c>
      <c r="R172" s="12">
        <f>IF(Marketing!$L172=0, 0, Marketing!$M172/Marketing!$L172)</f>
        <v>5058</v>
      </c>
      <c r="S172" s="12">
        <f>IF(Marketing!$J172=0,0,Marketing!$I172/Marketing!$J172)</f>
        <v>6.6530839044267456</v>
      </c>
      <c r="T172" s="12">
        <f>IF(Marketing!$K172=0,0,Marketing!$I172/Marketing!$K172)</f>
        <v>332.59259259259261</v>
      </c>
      <c r="U172" s="12">
        <f>Marketing!$M172 - Marketing!$I172</f>
        <v>28292</v>
      </c>
      <c r="V172" s="12">
        <f>IF(Marketing!$L172=0,0,Marketing!$I172/Marketing!$L172)</f>
        <v>4225.8823529411766</v>
      </c>
      <c r="W172" s="5" t="str">
        <f>IF(ISNUMBER(SEARCH("tier1",Marketing!$E172)),"Tier 1","Tier 2")</f>
        <v>Tier 1</v>
      </c>
      <c r="X172" s="5" t="str">
        <f t="shared" si="2"/>
        <v>Tier 1</v>
      </c>
      <c r="Y172" s="5" t="str">
        <f>IF(WEEKDAY(Marketing!$D172,2)&lt;6,"Weekday","Weekend")</f>
        <v>Weekday</v>
      </c>
    </row>
    <row r="173" spans="1:25" x14ac:dyDescent="0.35">
      <c r="A173" s="7">
        <v>172</v>
      </c>
      <c r="B173" s="7" t="str">
        <f>TEXT(Marketing!$D173,"MMMM")</f>
        <v>February</v>
      </c>
      <c r="C173" s="7" t="str">
        <f>TEXT(Marketing!$D173,"DDDD")</f>
        <v>Tuesday</v>
      </c>
      <c r="D173" s="8">
        <v>44243</v>
      </c>
      <c r="E173" s="7" t="s">
        <v>9</v>
      </c>
      <c r="F173" s="7" t="s">
        <v>2</v>
      </c>
      <c r="G173" s="7">
        <v>983498</v>
      </c>
      <c r="H173" s="7">
        <v>15988504</v>
      </c>
      <c r="I173" s="13">
        <v>103731</v>
      </c>
      <c r="J173" s="7">
        <v>40794</v>
      </c>
      <c r="K173" s="7">
        <v>816</v>
      </c>
      <c r="L173" s="7">
        <v>24</v>
      </c>
      <c r="M173" s="13">
        <v>41424</v>
      </c>
      <c r="N173" s="15">
        <v>-6.0065939786563324E-3</v>
      </c>
      <c r="O173" s="16">
        <v>2.5514582227330337E-5</v>
      </c>
      <c r="P173" s="18">
        <v>2.0002941609060157E-4</v>
      </c>
      <c r="Q173" s="16">
        <v>2.941176470588235E-4</v>
      </c>
      <c r="R173" s="13">
        <f>IF(Marketing!$L173=0, 0, Marketing!$M173/Marketing!$L173)</f>
        <v>1726</v>
      </c>
      <c r="S173" s="13">
        <f>IF(Marketing!$J173=0,0,Marketing!$I173/Marketing!$J173)</f>
        <v>2.5428004118252683</v>
      </c>
      <c r="T173" s="13">
        <f>IF(Marketing!$K173=0,0,Marketing!$I173/Marketing!$K173)</f>
        <v>127.12132352941177</v>
      </c>
      <c r="U173" s="13">
        <f>Marketing!$M173 - Marketing!$I173</f>
        <v>-62307</v>
      </c>
      <c r="V173" s="13">
        <f>IF(Marketing!$L173=0,0,Marketing!$I173/Marketing!$L173)</f>
        <v>4322.125</v>
      </c>
      <c r="W173" s="7" t="str">
        <f>IF(ISNUMBER(SEARCH("tier1",Marketing!$E173)),"Tier 1","Tier 2")</f>
        <v>Tier 2</v>
      </c>
      <c r="X173" s="7" t="str">
        <f t="shared" si="2"/>
        <v>Tier 2</v>
      </c>
      <c r="Y173" s="7" t="str">
        <f>IF(WEEKDAY(Marketing!$D173,2)&lt;6,"Weekday","Weekend")</f>
        <v>Weekday</v>
      </c>
    </row>
    <row r="174" spans="1:25" x14ac:dyDescent="0.35">
      <c r="A174" s="5">
        <v>173</v>
      </c>
      <c r="B174" s="5" t="str">
        <f>TEXT(Marketing!$D174,"MMMM")</f>
        <v>February</v>
      </c>
      <c r="C174" s="5" t="str">
        <f>TEXT(Marketing!$D174,"DDDD")</f>
        <v>Tuesday</v>
      </c>
      <c r="D174" s="6">
        <v>44243</v>
      </c>
      <c r="E174" s="5" t="s">
        <v>10</v>
      </c>
      <c r="F174" s="5" t="s">
        <v>2</v>
      </c>
      <c r="G174" s="5">
        <v>4387490</v>
      </c>
      <c r="H174" s="5">
        <v>80233</v>
      </c>
      <c r="I174" s="12">
        <v>31712</v>
      </c>
      <c r="J174" s="5">
        <v>2407</v>
      </c>
      <c r="K174" s="5">
        <v>48</v>
      </c>
      <c r="L174" s="5">
        <v>12</v>
      </c>
      <c r="M174" s="12">
        <v>59772</v>
      </c>
      <c r="N174" s="14">
        <v>8.8483854692230062E-3</v>
      </c>
      <c r="O174" s="16">
        <v>3.0000124636994749E-4</v>
      </c>
      <c r="P174" s="18">
        <v>1.9941836310760283E-4</v>
      </c>
      <c r="Q174" s="16">
        <v>2.5000000000000001E-3</v>
      </c>
      <c r="R174" s="12">
        <f>IF(Marketing!$L174=0, 0, Marketing!$M174/Marketing!$L174)</f>
        <v>4981</v>
      </c>
      <c r="S174" s="12">
        <f>IF(Marketing!$J174=0,0,Marketing!$I174/Marketing!$J174)</f>
        <v>13.174906522642294</v>
      </c>
      <c r="T174" s="12">
        <f>IF(Marketing!$K174=0,0,Marketing!$I174/Marketing!$K174)</f>
        <v>660.66666666666663</v>
      </c>
      <c r="U174" s="12">
        <f>Marketing!$M174 - Marketing!$I174</f>
        <v>28060</v>
      </c>
      <c r="V174" s="12">
        <f>IF(Marketing!$L174=0,0,Marketing!$I174/Marketing!$L174)</f>
        <v>2642.6666666666665</v>
      </c>
      <c r="W174" s="5" t="str">
        <f>IF(ISNUMBER(SEARCH("tier1",Marketing!$E174)),"Tier 1","Tier 2")</f>
        <v>Tier 2</v>
      </c>
      <c r="X174" s="5" t="str">
        <f t="shared" si="2"/>
        <v>Tier 2</v>
      </c>
      <c r="Y174" s="5" t="str">
        <f>IF(WEEKDAY(Marketing!$D174,2)&lt;6,"Weekday","Weekend")</f>
        <v>Weekday</v>
      </c>
    </row>
    <row r="175" spans="1:25" x14ac:dyDescent="0.35">
      <c r="A175" s="7">
        <v>174</v>
      </c>
      <c r="B175" s="7" t="str">
        <f>TEXT(Marketing!$D175,"MMMM")</f>
        <v>February</v>
      </c>
      <c r="C175" s="7" t="str">
        <f>TEXT(Marketing!$D175,"DDDD")</f>
        <v>Tuesday</v>
      </c>
      <c r="D175" s="8">
        <v>44243</v>
      </c>
      <c r="E175" s="7" t="s">
        <v>11</v>
      </c>
      <c r="F175" s="7" t="s">
        <v>2</v>
      </c>
      <c r="G175" s="7">
        <v>544756</v>
      </c>
      <c r="H175" s="7">
        <v>1576818</v>
      </c>
      <c r="I175" s="13">
        <v>345629</v>
      </c>
      <c r="J175" s="7">
        <v>9597</v>
      </c>
      <c r="K175" s="7">
        <v>292</v>
      </c>
      <c r="L175" s="7">
        <v>39</v>
      </c>
      <c r="M175" s="13">
        <v>25857</v>
      </c>
      <c r="N175" s="15">
        <v>-9.251885692462148E-3</v>
      </c>
      <c r="O175" s="16">
        <v>6.0863079949620061E-5</v>
      </c>
      <c r="P175" s="18">
        <v>3.0426174846306139E-4</v>
      </c>
      <c r="Q175" s="16">
        <v>1.3356164383561645E-3</v>
      </c>
      <c r="R175" s="13">
        <f>IF(Marketing!$L175=0, 0, Marketing!$M175/Marketing!$L175)</f>
        <v>663</v>
      </c>
      <c r="S175" s="13">
        <f>IF(Marketing!$J175=0,0,Marketing!$I175/Marketing!$J175)</f>
        <v>36.014275294362825</v>
      </c>
      <c r="T175" s="13">
        <f>IF(Marketing!$K175=0,0,Marketing!$I175/Marketing!$K175)</f>
        <v>1183.6609589041095</v>
      </c>
      <c r="U175" s="13">
        <f>Marketing!$M175 - Marketing!$I175</f>
        <v>-319772</v>
      </c>
      <c r="V175" s="13">
        <f>IF(Marketing!$L175=0,0,Marketing!$I175/Marketing!$L175)</f>
        <v>8862.2820512820508</v>
      </c>
      <c r="W175" s="7" t="str">
        <f>IF(ISNUMBER(SEARCH("tier1",Marketing!$E175)),"Tier 1","Tier 2")</f>
        <v>Tier 2</v>
      </c>
      <c r="X175" s="7" t="str">
        <f t="shared" si="2"/>
        <v>Tier 2</v>
      </c>
      <c r="Y175" s="7" t="str">
        <f>IF(WEEKDAY(Marketing!$D175,2)&lt;6,"Weekday","Weekend")</f>
        <v>Weekday</v>
      </c>
    </row>
    <row r="176" spans="1:25" x14ac:dyDescent="0.35">
      <c r="A176" s="5">
        <v>175</v>
      </c>
      <c r="B176" s="5" t="str">
        <f>TEXT(Marketing!$D176,"MMMM")</f>
        <v>February</v>
      </c>
      <c r="C176" s="5" t="str">
        <f>TEXT(Marketing!$D176,"DDDD")</f>
        <v>Tuesday</v>
      </c>
      <c r="D176" s="6">
        <v>44243</v>
      </c>
      <c r="E176" s="5" t="s">
        <v>12</v>
      </c>
      <c r="F176" s="5" t="s">
        <v>7</v>
      </c>
      <c r="G176" s="5">
        <v>374754</v>
      </c>
      <c r="H176" s="5">
        <v>3937010</v>
      </c>
      <c r="I176" s="12">
        <v>620903</v>
      </c>
      <c r="J176" s="5">
        <v>23994</v>
      </c>
      <c r="K176" s="5">
        <v>833</v>
      </c>
      <c r="L176" s="5">
        <v>160</v>
      </c>
      <c r="M176" s="12">
        <v>939360</v>
      </c>
      <c r="N176" s="14">
        <v>5.1289331827998894E-3</v>
      </c>
      <c r="O176" s="16">
        <v>6.0944727089847373E-5</v>
      </c>
      <c r="P176" s="18">
        <v>3.4717012586479954E-4</v>
      </c>
      <c r="Q176" s="16">
        <v>1.9207683073229293E-3</v>
      </c>
      <c r="R176" s="12">
        <f>IF(Marketing!$L176=0, 0, Marketing!$M176/Marketing!$L176)</f>
        <v>5871</v>
      </c>
      <c r="S176" s="12">
        <f>IF(Marketing!$J176=0,0,Marketing!$I176/Marketing!$J176)</f>
        <v>25.877427690255896</v>
      </c>
      <c r="T176" s="12">
        <f>IF(Marketing!$K176=0,0,Marketing!$I176/Marketing!$K176)</f>
        <v>745.38175270108047</v>
      </c>
      <c r="U176" s="12">
        <f>Marketing!$M176 - Marketing!$I176</f>
        <v>318457</v>
      </c>
      <c r="V176" s="12">
        <f>IF(Marketing!$L176=0,0,Marketing!$I176/Marketing!$L176)</f>
        <v>3880.6437500000002</v>
      </c>
      <c r="W176" s="5" t="str">
        <f>IF(ISNUMBER(SEARCH("tier1",Marketing!$E176)),"Tier 1","Tier 2")</f>
        <v>Tier 2</v>
      </c>
      <c r="X176" s="5" t="str">
        <f t="shared" si="2"/>
        <v>Tier 2</v>
      </c>
      <c r="Y176" s="5" t="str">
        <f>IF(WEEKDAY(Marketing!$D176,2)&lt;6,"Weekday","Weekend")</f>
        <v>Weekday</v>
      </c>
    </row>
    <row r="177" spans="1:25" x14ac:dyDescent="0.35">
      <c r="A177" s="7">
        <v>176</v>
      </c>
      <c r="B177" s="7" t="str">
        <f>TEXT(Marketing!$D177,"MMMM")</f>
        <v>February</v>
      </c>
      <c r="C177" s="7" t="str">
        <f>TEXT(Marketing!$D177,"DDDD")</f>
        <v>Tuesday</v>
      </c>
      <c r="D177" s="8">
        <v>44243</v>
      </c>
      <c r="E177" s="7" t="s">
        <v>13</v>
      </c>
      <c r="F177" s="7" t="s">
        <v>14</v>
      </c>
      <c r="G177" s="7">
        <v>39889</v>
      </c>
      <c r="H177" s="7">
        <v>56876855</v>
      </c>
      <c r="I177" s="13">
        <v>206424</v>
      </c>
      <c r="J177" s="7">
        <v>33592</v>
      </c>
      <c r="K177" s="7">
        <v>416</v>
      </c>
      <c r="L177" s="7">
        <v>62</v>
      </c>
      <c r="M177" s="13">
        <v>246822</v>
      </c>
      <c r="N177" s="15">
        <v>1.9570398790838277E-3</v>
      </c>
      <c r="O177" s="16">
        <v>5.9060930847881794E-6</v>
      </c>
      <c r="P177" s="18">
        <v>1.238390092879257E-4</v>
      </c>
      <c r="Q177" s="16">
        <v>1.4903846153846154E-3</v>
      </c>
      <c r="R177" s="13">
        <f>IF(Marketing!$L177=0, 0, Marketing!$M177/Marketing!$L177)</f>
        <v>3981</v>
      </c>
      <c r="S177" s="13">
        <f>IF(Marketing!$J177=0,0,Marketing!$I177/Marketing!$J177)</f>
        <v>6.1450345320314357</v>
      </c>
      <c r="T177" s="13">
        <f>IF(Marketing!$K177=0,0,Marketing!$I177/Marketing!$K177)</f>
        <v>496.21153846153845</v>
      </c>
      <c r="U177" s="13">
        <f>Marketing!$M177 - Marketing!$I177</f>
        <v>40398</v>
      </c>
      <c r="V177" s="13">
        <f>IF(Marketing!$L177=0,0,Marketing!$I177/Marketing!$L177)</f>
        <v>3329.4193548387098</v>
      </c>
      <c r="W177" s="7" t="str">
        <f>IF(ISNUMBER(SEARCH("tier1",Marketing!$E177)),"Tier 1","Tier 2")</f>
        <v>Tier 2</v>
      </c>
      <c r="X177" s="7" t="str">
        <f t="shared" si="2"/>
        <v>Tier 2</v>
      </c>
      <c r="Y177" s="7" t="str">
        <f>IF(WEEKDAY(Marketing!$D177,2)&lt;6,"Weekday","Weekend")</f>
        <v>Weekday</v>
      </c>
    </row>
    <row r="178" spans="1:25" x14ac:dyDescent="0.35">
      <c r="A178" s="5">
        <v>177</v>
      </c>
      <c r="B178" s="5" t="str">
        <f>TEXT(Marketing!$D178,"MMMM")</f>
        <v>February</v>
      </c>
      <c r="C178" s="5" t="str">
        <f>TEXT(Marketing!$D178,"DDDD")</f>
        <v>Wednesday</v>
      </c>
      <c r="D178" s="6">
        <v>44244</v>
      </c>
      <c r="E178" s="5" t="s">
        <v>1</v>
      </c>
      <c r="F178" s="5" t="s">
        <v>2</v>
      </c>
      <c r="G178" s="5">
        <v>349043</v>
      </c>
      <c r="H178" s="5">
        <v>4320600</v>
      </c>
      <c r="I178" s="12">
        <v>489831</v>
      </c>
      <c r="J178" s="5">
        <v>21603</v>
      </c>
      <c r="K178" s="5">
        <v>652</v>
      </c>
      <c r="L178" s="5">
        <v>86</v>
      </c>
      <c r="M178" s="12">
        <v>428366</v>
      </c>
      <c r="N178" s="14">
        <v>-1.2548205401454787E-3</v>
      </c>
      <c r="O178" s="16">
        <v>5.0000000000000002E-5</v>
      </c>
      <c r="P178" s="18">
        <v>3.0180993380548996E-4</v>
      </c>
      <c r="Q178" s="16">
        <v>1.3190184049079753E-3</v>
      </c>
      <c r="R178" s="12">
        <f>IF(Marketing!$L178=0, 0, Marketing!$M178/Marketing!$L178)</f>
        <v>4981</v>
      </c>
      <c r="S178" s="12">
        <f>IF(Marketing!$J178=0,0,Marketing!$I178/Marketing!$J178)</f>
        <v>22.674211915011803</v>
      </c>
      <c r="T178" s="12">
        <f>IF(Marketing!$K178=0,0,Marketing!$I178/Marketing!$K178)</f>
        <v>751.27453987730064</v>
      </c>
      <c r="U178" s="12">
        <f>Marketing!$M178 - Marketing!$I178</f>
        <v>-61465</v>
      </c>
      <c r="V178" s="12">
        <f>IF(Marketing!$L178=0,0,Marketing!$I178/Marketing!$L178)</f>
        <v>5695.7093023255811</v>
      </c>
      <c r="W178" s="5" t="str">
        <f>IF(ISNUMBER(SEARCH("tier1",Marketing!$E178)),"Tier 1","Tier 2")</f>
        <v>Tier 1</v>
      </c>
      <c r="X178" s="5" t="str">
        <f t="shared" si="2"/>
        <v>Tier 1</v>
      </c>
      <c r="Y178" s="5" t="str">
        <f>IF(WEEKDAY(Marketing!$D178,2)&lt;6,"Weekday","Weekend")</f>
        <v>Weekday</v>
      </c>
    </row>
    <row r="179" spans="1:25" x14ac:dyDescent="0.35">
      <c r="A179" s="7">
        <v>178</v>
      </c>
      <c r="B179" s="7" t="str">
        <f>TEXT(Marketing!$D179,"MMMM")</f>
        <v>February</v>
      </c>
      <c r="C179" s="7" t="str">
        <f>TEXT(Marketing!$D179,"DDDD")</f>
        <v>Wednesday</v>
      </c>
      <c r="D179" s="8">
        <v>44244</v>
      </c>
      <c r="E179" s="7" t="s">
        <v>67</v>
      </c>
      <c r="F179" s="7" t="s">
        <v>2</v>
      </c>
      <c r="G179" s="7">
        <v>348934</v>
      </c>
      <c r="H179" s="7">
        <v>6102420</v>
      </c>
      <c r="I179" s="13">
        <v>403691</v>
      </c>
      <c r="J179" s="7">
        <v>29704</v>
      </c>
      <c r="K179" s="7">
        <v>594</v>
      </c>
      <c r="L179" s="7">
        <v>61</v>
      </c>
      <c r="M179" s="13">
        <v>303841</v>
      </c>
      <c r="N179" s="15">
        <v>-2.4734264573646673E-3</v>
      </c>
      <c r="O179" s="16">
        <v>4.8675771251405186E-5</v>
      </c>
      <c r="P179" s="18">
        <v>1.9997306760032317E-4</v>
      </c>
      <c r="Q179" s="16">
        <v>1.026936026936027E-3</v>
      </c>
      <c r="R179" s="13">
        <f>IF(Marketing!$L179=0, 0, Marketing!$M179/Marketing!$L179)</f>
        <v>4981</v>
      </c>
      <c r="S179" s="13">
        <f>IF(Marketing!$J179=0,0,Marketing!$I179/Marketing!$J179)</f>
        <v>13.590459197414489</v>
      </c>
      <c r="T179" s="13">
        <f>IF(Marketing!$K179=0,0,Marketing!$I179/Marketing!$K179)</f>
        <v>679.61447811447806</v>
      </c>
      <c r="U179" s="13">
        <f>Marketing!$M179 - Marketing!$I179</f>
        <v>-99850</v>
      </c>
      <c r="V179" s="13">
        <f>IF(Marketing!$L179=0,0,Marketing!$I179/Marketing!$L179)</f>
        <v>6617.8852459016398</v>
      </c>
      <c r="W179" s="7" t="str">
        <f>IF(ISNUMBER(SEARCH("tier1",Marketing!$E179)),"Tier 1","Tier 2")</f>
        <v>Tier 2</v>
      </c>
      <c r="X179" s="7" t="str">
        <f t="shared" si="2"/>
        <v>Tier 2</v>
      </c>
      <c r="Y179" s="7" t="str">
        <f>IF(WEEKDAY(Marketing!$D179,2)&lt;6,"Weekday","Weekend")</f>
        <v>Weekday</v>
      </c>
    </row>
    <row r="180" spans="1:25" x14ac:dyDescent="0.35">
      <c r="A180" s="5">
        <v>179</v>
      </c>
      <c r="B180" s="5" t="str">
        <f>TEXT(Marketing!$D180,"MMMM")</f>
        <v>February</v>
      </c>
      <c r="C180" s="5" t="str">
        <f>TEXT(Marketing!$D180,"DDDD")</f>
        <v>Wednesday</v>
      </c>
      <c r="D180" s="6">
        <v>44244</v>
      </c>
      <c r="E180" s="5" t="s">
        <v>3</v>
      </c>
      <c r="F180" s="5" t="s">
        <v>4</v>
      </c>
      <c r="G180" s="5">
        <v>89459845</v>
      </c>
      <c r="H180" s="5">
        <v>490058</v>
      </c>
      <c r="I180" s="12">
        <v>116213</v>
      </c>
      <c r="J180" s="5">
        <v>8104</v>
      </c>
      <c r="K180" s="5">
        <v>162</v>
      </c>
      <c r="L180" s="5">
        <v>31</v>
      </c>
      <c r="M180" s="12">
        <v>227726</v>
      </c>
      <c r="N180" s="14">
        <v>9.5955702029893383E-3</v>
      </c>
      <c r="O180" s="16">
        <v>1.653681809091985E-4</v>
      </c>
      <c r="P180" s="18">
        <v>1.9990128331688056E-4</v>
      </c>
      <c r="Q180" s="16">
        <v>1.9135802469135801E-3</v>
      </c>
      <c r="R180" s="12">
        <f>IF(Marketing!$L180=0, 0, Marketing!$M180/Marketing!$L180)</f>
        <v>7346</v>
      </c>
      <c r="S180" s="12">
        <f>IF(Marketing!$J180=0,0,Marketing!$I180/Marketing!$J180)</f>
        <v>14.340202369200394</v>
      </c>
      <c r="T180" s="12">
        <f>IF(Marketing!$K180=0,0,Marketing!$I180/Marketing!$K180)</f>
        <v>717.3641975308642</v>
      </c>
      <c r="U180" s="12">
        <f>Marketing!$M180 - Marketing!$I180</f>
        <v>111513</v>
      </c>
      <c r="V180" s="12">
        <f>IF(Marketing!$L180=0,0,Marketing!$I180/Marketing!$L180)</f>
        <v>3748.8064516129034</v>
      </c>
      <c r="W180" s="5" t="str">
        <f>IF(ISNUMBER(SEARCH("tier1",Marketing!$E180)),"Tier 1","Tier 2")</f>
        <v>Tier 2</v>
      </c>
      <c r="X180" s="5" t="str">
        <f t="shared" si="2"/>
        <v>Tier 2</v>
      </c>
      <c r="Y180" s="5" t="str">
        <f>IF(WEEKDAY(Marketing!$D180,2)&lt;6,"Weekday","Weekend")</f>
        <v>Weekday</v>
      </c>
    </row>
    <row r="181" spans="1:25" x14ac:dyDescent="0.35">
      <c r="A181" s="7">
        <v>180</v>
      </c>
      <c r="B181" s="7" t="str">
        <f>TEXT(Marketing!$D181,"MMMM")</f>
        <v>February</v>
      </c>
      <c r="C181" s="7" t="str">
        <f>TEXT(Marketing!$D181,"DDDD")</f>
        <v>Wednesday</v>
      </c>
      <c r="D181" s="8">
        <v>44244</v>
      </c>
      <c r="E181" s="7" t="s">
        <v>5</v>
      </c>
      <c r="F181" s="7" t="s">
        <v>4</v>
      </c>
      <c r="G181" s="7">
        <v>127823</v>
      </c>
      <c r="H181" s="7">
        <v>4319200</v>
      </c>
      <c r="I181" s="13">
        <v>180223</v>
      </c>
      <c r="J181" s="7">
        <v>21596</v>
      </c>
      <c r="K181" s="7">
        <v>442</v>
      </c>
      <c r="L181" s="7">
        <v>44</v>
      </c>
      <c r="M181" s="13">
        <v>136708</v>
      </c>
      <c r="N181" s="15">
        <v>-2.414508692009344E-3</v>
      </c>
      <c r="O181" s="16">
        <v>5.0000000000000002E-5</v>
      </c>
      <c r="P181" s="18">
        <v>2.0466753102426374E-4</v>
      </c>
      <c r="Q181" s="16">
        <v>9.9547511312217179E-4</v>
      </c>
      <c r="R181" s="13">
        <f>IF(Marketing!$L181=0, 0, Marketing!$M181/Marketing!$L181)</f>
        <v>3107</v>
      </c>
      <c r="S181" s="13">
        <f>IF(Marketing!$J181=0,0,Marketing!$I181/Marketing!$J181)</f>
        <v>8.3452028153361741</v>
      </c>
      <c r="T181" s="13">
        <f>IF(Marketing!$K181=0,0,Marketing!$I181/Marketing!$K181)</f>
        <v>407.74434389140271</v>
      </c>
      <c r="U181" s="13">
        <f>Marketing!$M181 - Marketing!$I181</f>
        <v>-43515</v>
      </c>
      <c r="V181" s="13">
        <f>IF(Marketing!$L181=0,0,Marketing!$I181/Marketing!$L181)</f>
        <v>4095.9772727272725</v>
      </c>
      <c r="W181" s="7" t="str">
        <f>IF(ISNUMBER(SEARCH("tier1",Marketing!$E181)),"Tier 1","Tier 2")</f>
        <v>Tier 2</v>
      </c>
      <c r="X181" s="7" t="str">
        <f t="shared" si="2"/>
        <v>Tier 2</v>
      </c>
      <c r="Y181" s="7" t="str">
        <f>IF(WEEKDAY(Marketing!$D181,2)&lt;6,"Weekday","Weekend")</f>
        <v>Weekday</v>
      </c>
    </row>
    <row r="182" spans="1:25" x14ac:dyDescent="0.35">
      <c r="A182" s="5">
        <v>181</v>
      </c>
      <c r="B182" s="5" t="str">
        <f>TEXT(Marketing!$D182,"MMMM")</f>
        <v>February</v>
      </c>
      <c r="C182" s="5" t="str">
        <f>TEXT(Marketing!$D182,"DDDD")</f>
        <v>Wednesday</v>
      </c>
      <c r="D182" s="6">
        <v>44244</v>
      </c>
      <c r="E182" s="5" t="s">
        <v>6</v>
      </c>
      <c r="F182" s="5" t="s">
        <v>7</v>
      </c>
      <c r="G182" s="5">
        <v>10934</v>
      </c>
      <c r="H182" s="5">
        <v>4049400</v>
      </c>
      <c r="I182" s="12">
        <v>363811</v>
      </c>
      <c r="J182" s="5">
        <v>40494</v>
      </c>
      <c r="K182" s="5">
        <v>746</v>
      </c>
      <c r="L182" s="5">
        <v>149</v>
      </c>
      <c r="M182" s="12">
        <v>1189170</v>
      </c>
      <c r="N182" s="14">
        <v>2.2686477319267418E-2</v>
      </c>
      <c r="O182" s="16">
        <v>1E-4</v>
      </c>
      <c r="P182" s="18">
        <v>1.8422482343063168E-4</v>
      </c>
      <c r="Q182" s="16">
        <v>1.9973190348525471E-3</v>
      </c>
      <c r="R182" s="12">
        <f>IF(Marketing!$L182=0, 0, Marketing!$M182/Marketing!$L182)</f>
        <v>7981.0067114093963</v>
      </c>
      <c r="S182" s="12">
        <f>IF(Marketing!$J182=0,0,Marketing!$I182/Marketing!$J182)</f>
        <v>8.9843186644935056</v>
      </c>
      <c r="T182" s="12">
        <f>IF(Marketing!$K182=0,0,Marketing!$I182/Marketing!$K182)</f>
        <v>487.6823056300268</v>
      </c>
      <c r="U182" s="12">
        <f>Marketing!$M182 - Marketing!$I182</f>
        <v>825359</v>
      </c>
      <c r="V182" s="12">
        <f>IF(Marketing!$L182=0,0,Marketing!$I182/Marketing!$L182)</f>
        <v>2441.6845637583892</v>
      </c>
      <c r="W182" s="5" t="str">
        <f>IF(ISNUMBER(SEARCH("tier1",Marketing!$E182)),"Tier 1","Tier 2")</f>
        <v>Tier 2</v>
      </c>
      <c r="X182" s="5" t="str">
        <f t="shared" si="2"/>
        <v>Tier 2</v>
      </c>
      <c r="Y182" s="5" t="str">
        <f>IF(WEEKDAY(Marketing!$D182,2)&lt;6,"Weekday","Weekend")</f>
        <v>Weekday</v>
      </c>
    </row>
    <row r="183" spans="1:25" x14ac:dyDescent="0.35">
      <c r="A183" s="7">
        <v>182</v>
      </c>
      <c r="B183" s="7" t="str">
        <f>TEXT(Marketing!$D183,"MMMM")</f>
        <v>February</v>
      </c>
      <c r="C183" s="7" t="str">
        <f>TEXT(Marketing!$D183,"DDDD")</f>
        <v>Wednesday</v>
      </c>
      <c r="D183" s="8">
        <v>44244</v>
      </c>
      <c r="E183" s="7" t="s">
        <v>8</v>
      </c>
      <c r="F183" s="7" t="s">
        <v>2</v>
      </c>
      <c r="G183" s="7">
        <v>9034945</v>
      </c>
      <c r="H183" s="7">
        <v>4999407</v>
      </c>
      <c r="I183" s="13">
        <v>246023</v>
      </c>
      <c r="J183" s="7">
        <v>24294</v>
      </c>
      <c r="K183" s="7">
        <v>606</v>
      </c>
      <c r="L183" s="7">
        <v>73</v>
      </c>
      <c r="M183" s="13">
        <v>496546</v>
      </c>
      <c r="N183" s="15">
        <v>1.0182909727952265E-2</v>
      </c>
      <c r="O183" s="16">
        <v>4.8593763220317933E-5</v>
      </c>
      <c r="P183" s="18">
        <v>2.4944430723635466E-4</v>
      </c>
      <c r="Q183" s="16">
        <v>1.2046204620462047E-3</v>
      </c>
      <c r="R183" s="13">
        <f>IF(Marketing!$L183=0, 0, Marketing!$M183/Marketing!$L183)</f>
        <v>6802</v>
      </c>
      <c r="S183" s="13">
        <f>IF(Marketing!$J183=0,0,Marketing!$I183/Marketing!$J183)</f>
        <v>10.126903762245822</v>
      </c>
      <c r="T183" s="13">
        <f>IF(Marketing!$K183=0,0,Marketing!$I183/Marketing!$K183)</f>
        <v>405.97854785478546</v>
      </c>
      <c r="U183" s="13">
        <f>Marketing!$M183 - Marketing!$I183</f>
        <v>250523</v>
      </c>
      <c r="V183" s="13">
        <f>IF(Marketing!$L183=0,0,Marketing!$I183/Marketing!$L183)</f>
        <v>3370.178082191781</v>
      </c>
      <c r="W183" s="7" t="str">
        <f>IF(ISNUMBER(SEARCH("tier1",Marketing!$E183)),"Tier 1","Tier 2")</f>
        <v>Tier 1</v>
      </c>
      <c r="X183" s="7" t="str">
        <f t="shared" si="2"/>
        <v>Tier 1</v>
      </c>
      <c r="Y183" s="7" t="str">
        <f>IF(WEEKDAY(Marketing!$D183,2)&lt;6,"Weekday","Weekend")</f>
        <v>Weekday</v>
      </c>
    </row>
    <row r="184" spans="1:25" x14ac:dyDescent="0.35">
      <c r="A184" s="5">
        <v>183</v>
      </c>
      <c r="B184" s="5" t="str">
        <f>TEXT(Marketing!$D184,"MMMM")</f>
        <v>February</v>
      </c>
      <c r="C184" s="5" t="str">
        <f>TEXT(Marketing!$D184,"DDDD")</f>
        <v>Wednesday</v>
      </c>
      <c r="D184" s="6">
        <v>44244</v>
      </c>
      <c r="E184" s="5" t="s">
        <v>9</v>
      </c>
      <c r="F184" s="5" t="s">
        <v>2</v>
      </c>
      <c r="G184" s="5">
        <v>983498</v>
      </c>
      <c r="H184" s="5">
        <v>32964848</v>
      </c>
      <c r="I184" s="12">
        <v>162819</v>
      </c>
      <c r="J184" s="5">
        <v>45907</v>
      </c>
      <c r="K184" s="5">
        <v>974</v>
      </c>
      <c r="L184" s="5">
        <v>46</v>
      </c>
      <c r="M184" s="12">
        <v>121900</v>
      </c>
      <c r="N184" s="14">
        <v>-2.5131587836800372E-3</v>
      </c>
      <c r="O184" s="16">
        <v>1.3926046314546938E-5</v>
      </c>
      <c r="P184" s="18">
        <v>2.1216807894220923E-4</v>
      </c>
      <c r="Q184" s="16">
        <v>4.7227926078028748E-4</v>
      </c>
      <c r="R184" s="12">
        <f>IF(Marketing!$L184=0, 0, Marketing!$M184/Marketing!$L184)</f>
        <v>2650</v>
      </c>
      <c r="S184" s="12">
        <f>IF(Marketing!$J184=0,0,Marketing!$I184/Marketing!$J184)</f>
        <v>3.5467140087568345</v>
      </c>
      <c r="T184" s="12">
        <f>IF(Marketing!$K184=0,0,Marketing!$I184/Marketing!$K184)</f>
        <v>167.16529774127309</v>
      </c>
      <c r="U184" s="12">
        <f>Marketing!$M184 - Marketing!$I184</f>
        <v>-40919</v>
      </c>
      <c r="V184" s="12">
        <f>IF(Marketing!$L184=0,0,Marketing!$I184/Marketing!$L184)</f>
        <v>3539.5434782608695</v>
      </c>
      <c r="W184" s="5" t="str">
        <f>IF(ISNUMBER(SEARCH("tier1",Marketing!$E184)),"Tier 1","Tier 2")</f>
        <v>Tier 2</v>
      </c>
      <c r="X184" s="5" t="str">
        <f t="shared" si="2"/>
        <v>Tier 2</v>
      </c>
      <c r="Y184" s="5" t="str">
        <f>IF(WEEKDAY(Marketing!$D184,2)&lt;6,"Weekday","Weekend")</f>
        <v>Weekday</v>
      </c>
    </row>
    <row r="185" spans="1:25" x14ac:dyDescent="0.35">
      <c r="A185" s="7">
        <v>184</v>
      </c>
      <c r="B185" s="7" t="str">
        <f>TEXT(Marketing!$D185,"MMMM")</f>
        <v>February</v>
      </c>
      <c r="C185" s="7" t="str">
        <f>TEXT(Marketing!$D185,"DDDD")</f>
        <v>Wednesday</v>
      </c>
      <c r="D185" s="8">
        <v>44244</v>
      </c>
      <c r="E185" s="7" t="s">
        <v>10</v>
      </c>
      <c r="F185" s="7" t="s">
        <v>2</v>
      </c>
      <c r="G185" s="7">
        <v>4387490</v>
      </c>
      <c r="H185" s="7">
        <v>84332</v>
      </c>
      <c r="I185" s="13">
        <v>31422.5</v>
      </c>
      <c r="J185" s="7">
        <v>2698</v>
      </c>
      <c r="K185" s="7">
        <v>54</v>
      </c>
      <c r="L185" s="7">
        <v>11</v>
      </c>
      <c r="M185" s="13">
        <v>45441</v>
      </c>
      <c r="N185" s="15">
        <v>4.4612936590023074E-3</v>
      </c>
      <c r="O185" s="16">
        <v>3.1992600673528437E-4</v>
      </c>
      <c r="P185" s="18">
        <v>2.0014825796886581E-4</v>
      </c>
      <c r="Q185" s="16">
        <v>2.0370370370370369E-3</v>
      </c>
      <c r="R185" s="13">
        <f>IF(Marketing!$L185=0, 0, Marketing!$M185/Marketing!$L185)</f>
        <v>4131</v>
      </c>
      <c r="S185" s="13">
        <f>IF(Marketing!$J185=0,0,Marketing!$I185/Marketing!$J185)</f>
        <v>11.646590066716087</v>
      </c>
      <c r="T185" s="13">
        <f>IF(Marketing!$K185=0,0,Marketing!$I185/Marketing!$K185)</f>
        <v>581.89814814814815</v>
      </c>
      <c r="U185" s="13">
        <f>Marketing!$M185 - Marketing!$I185</f>
        <v>14018.5</v>
      </c>
      <c r="V185" s="13">
        <f>IF(Marketing!$L185=0,0,Marketing!$I185/Marketing!$L185)</f>
        <v>2856.590909090909</v>
      </c>
      <c r="W185" s="7" t="str">
        <f>IF(ISNUMBER(SEARCH("tier1",Marketing!$E185)),"Tier 1","Tier 2")</f>
        <v>Tier 2</v>
      </c>
      <c r="X185" s="7" t="str">
        <f t="shared" si="2"/>
        <v>Tier 2</v>
      </c>
      <c r="Y185" s="7" t="str">
        <f>IF(WEEKDAY(Marketing!$D185,2)&lt;6,"Weekday","Weekend")</f>
        <v>Weekday</v>
      </c>
    </row>
    <row r="186" spans="1:25" x14ac:dyDescent="0.35">
      <c r="A186" s="5">
        <v>185</v>
      </c>
      <c r="B186" s="5" t="str">
        <f>TEXT(Marketing!$D186,"MMMM")</f>
        <v>February</v>
      </c>
      <c r="C186" s="5" t="str">
        <f>TEXT(Marketing!$D186,"DDDD")</f>
        <v>Wednesday</v>
      </c>
      <c r="D186" s="6">
        <v>44244</v>
      </c>
      <c r="E186" s="5" t="s">
        <v>11</v>
      </c>
      <c r="F186" s="5" t="s">
        <v>2</v>
      </c>
      <c r="G186" s="5">
        <v>544756</v>
      </c>
      <c r="H186" s="5">
        <v>1361187</v>
      </c>
      <c r="I186" s="12">
        <v>291254</v>
      </c>
      <c r="J186" s="5">
        <v>10810</v>
      </c>
      <c r="K186" s="5">
        <v>216</v>
      </c>
      <c r="L186" s="5">
        <v>32</v>
      </c>
      <c r="M186" s="12">
        <v>31392</v>
      </c>
      <c r="N186" s="14">
        <v>-8.9221778928358069E-3</v>
      </c>
      <c r="O186" s="16">
        <v>7.9415980317179048E-5</v>
      </c>
      <c r="P186" s="18">
        <v>1.998149861239593E-4</v>
      </c>
      <c r="Q186" s="16">
        <v>1.4814814814814814E-3</v>
      </c>
      <c r="R186" s="12">
        <f>IF(Marketing!$L186=0, 0, Marketing!$M186/Marketing!$L186)</f>
        <v>981</v>
      </c>
      <c r="S186" s="12">
        <f>IF(Marketing!$J186=0,0,Marketing!$I186/Marketing!$J186)</f>
        <v>26.943015726179464</v>
      </c>
      <c r="T186" s="12">
        <f>IF(Marketing!$K186=0,0,Marketing!$I186/Marketing!$K186)</f>
        <v>1348.398148148148</v>
      </c>
      <c r="U186" s="12">
        <f>Marketing!$M186 - Marketing!$I186</f>
        <v>-259862</v>
      </c>
      <c r="V186" s="12">
        <f>IF(Marketing!$L186=0,0,Marketing!$I186/Marketing!$L186)</f>
        <v>9101.6875</v>
      </c>
      <c r="W186" s="5" t="str">
        <f>IF(ISNUMBER(SEARCH("tier1",Marketing!$E186)),"Tier 1","Tier 2")</f>
        <v>Tier 2</v>
      </c>
      <c r="X186" s="5" t="str">
        <f t="shared" si="2"/>
        <v>Tier 2</v>
      </c>
      <c r="Y186" s="5" t="str">
        <f>IF(WEEKDAY(Marketing!$D186,2)&lt;6,"Weekday","Weekend")</f>
        <v>Weekday</v>
      </c>
    </row>
    <row r="187" spans="1:25" x14ac:dyDescent="0.35">
      <c r="A187" s="7">
        <v>186</v>
      </c>
      <c r="B187" s="7" t="str">
        <f>TEXT(Marketing!$D187,"MMMM")</f>
        <v>February</v>
      </c>
      <c r="C187" s="7" t="str">
        <f>TEXT(Marketing!$D187,"DDDD")</f>
        <v>Wednesday</v>
      </c>
      <c r="D187" s="8">
        <v>44244</v>
      </c>
      <c r="E187" s="7" t="s">
        <v>12</v>
      </c>
      <c r="F187" s="7" t="s">
        <v>7</v>
      </c>
      <c r="G187" s="7">
        <v>374754</v>
      </c>
      <c r="H187" s="7">
        <v>2795511</v>
      </c>
      <c r="I187" s="13">
        <v>462606</v>
      </c>
      <c r="J187" s="7">
        <v>26990</v>
      </c>
      <c r="K187" s="7">
        <v>795</v>
      </c>
      <c r="L187" s="7">
        <v>119</v>
      </c>
      <c r="M187" s="13">
        <v>592739</v>
      </c>
      <c r="N187" s="15">
        <v>2.8130417677245862E-3</v>
      </c>
      <c r="O187" s="16">
        <v>9.6547643704496236E-5</v>
      </c>
      <c r="P187" s="18">
        <v>2.9455353834753612E-4</v>
      </c>
      <c r="Q187" s="16">
        <v>1.4968553459119495E-3</v>
      </c>
      <c r="R187" s="13">
        <f>IF(Marketing!$L187=0, 0, Marketing!$M187/Marketing!$L187)</f>
        <v>4981</v>
      </c>
      <c r="S187" s="13">
        <f>IF(Marketing!$J187=0,0,Marketing!$I187/Marketing!$J187)</f>
        <v>17.139903668025195</v>
      </c>
      <c r="T187" s="13">
        <f>IF(Marketing!$K187=0,0,Marketing!$I187/Marketing!$K187)</f>
        <v>581.8943396226415</v>
      </c>
      <c r="U187" s="13">
        <f>Marketing!$M187 - Marketing!$I187</f>
        <v>130133</v>
      </c>
      <c r="V187" s="13">
        <f>IF(Marketing!$L187=0,0,Marketing!$I187/Marketing!$L187)</f>
        <v>3887.4453781512607</v>
      </c>
      <c r="W187" s="7" t="str">
        <f>IF(ISNUMBER(SEARCH("tier1",Marketing!$E187)),"Tier 1","Tier 2")</f>
        <v>Tier 2</v>
      </c>
      <c r="X187" s="7" t="str">
        <f t="shared" si="2"/>
        <v>Tier 2</v>
      </c>
      <c r="Y187" s="7" t="str">
        <f>IF(WEEKDAY(Marketing!$D187,2)&lt;6,"Weekday","Weekend")</f>
        <v>Weekday</v>
      </c>
    </row>
    <row r="188" spans="1:25" x14ac:dyDescent="0.35">
      <c r="A188" s="5">
        <v>187</v>
      </c>
      <c r="B188" s="5" t="str">
        <f>TEXT(Marketing!$D188,"MMMM")</f>
        <v>February</v>
      </c>
      <c r="C188" s="5" t="str">
        <f>TEXT(Marketing!$D188,"DDDD")</f>
        <v>Wednesday</v>
      </c>
      <c r="D188" s="6">
        <v>44244</v>
      </c>
      <c r="E188" s="5" t="s">
        <v>13</v>
      </c>
      <c r="F188" s="5" t="s">
        <v>14</v>
      </c>
      <c r="G188" s="5">
        <v>39889</v>
      </c>
      <c r="H188" s="5">
        <v>16553044</v>
      </c>
      <c r="I188" s="12">
        <v>523398</v>
      </c>
      <c r="J188" s="5">
        <v>37805</v>
      </c>
      <c r="K188" s="5">
        <v>756</v>
      </c>
      <c r="L188" s="5">
        <v>142</v>
      </c>
      <c r="M188" s="12">
        <v>565302</v>
      </c>
      <c r="N188" s="14">
        <v>8.0061444636777364E-4</v>
      </c>
      <c r="O188" s="16">
        <v>2.2838699637359752E-5</v>
      </c>
      <c r="P188" s="18">
        <v>1.9997354847242426E-4</v>
      </c>
      <c r="Q188" s="16">
        <v>1.8783068783068781E-3</v>
      </c>
      <c r="R188" s="12">
        <f>IF(Marketing!$L188=0, 0, Marketing!$M188/Marketing!$L188)</f>
        <v>3981</v>
      </c>
      <c r="S188" s="12">
        <f>IF(Marketing!$J188=0,0,Marketing!$I188/Marketing!$J188)</f>
        <v>13.844676630075387</v>
      </c>
      <c r="T188" s="12">
        <f>IF(Marketing!$K188=0,0,Marketing!$I188/Marketing!$K188)</f>
        <v>692.32539682539687</v>
      </c>
      <c r="U188" s="12">
        <f>Marketing!$M188 - Marketing!$I188</f>
        <v>41904</v>
      </c>
      <c r="V188" s="12">
        <f>IF(Marketing!$L188=0,0,Marketing!$I188/Marketing!$L188)</f>
        <v>3685.9014084507044</v>
      </c>
      <c r="W188" s="5" t="str">
        <f>IF(ISNUMBER(SEARCH("tier1",Marketing!$E188)),"Tier 1","Tier 2")</f>
        <v>Tier 2</v>
      </c>
      <c r="X188" s="5" t="str">
        <f t="shared" si="2"/>
        <v>Tier 2</v>
      </c>
      <c r="Y188" s="5" t="str">
        <f>IF(WEEKDAY(Marketing!$D188,2)&lt;6,"Weekday","Weekend")</f>
        <v>Weekday</v>
      </c>
    </row>
    <row r="189" spans="1:25" x14ac:dyDescent="0.35">
      <c r="A189" s="7">
        <v>188</v>
      </c>
      <c r="B189" s="7" t="str">
        <f>TEXT(Marketing!$D189,"MMMM")</f>
        <v>February</v>
      </c>
      <c r="C189" s="7" t="str">
        <f>TEXT(Marketing!$D189,"DDDD")</f>
        <v>Thursday</v>
      </c>
      <c r="D189" s="8">
        <v>44245</v>
      </c>
      <c r="E189" s="7" t="s">
        <v>1</v>
      </c>
      <c r="F189" s="7" t="s">
        <v>2</v>
      </c>
      <c r="G189" s="7">
        <v>349043</v>
      </c>
      <c r="H189" s="7">
        <v>4798200</v>
      </c>
      <c r="I189" s="13">
        <v>30892.2</v>
      </c>
      <c r="J189" s="7">
        <v>23991</v>
      </c>
      <c r="K189" s="7">
        <v>61</v>
      </c>
      <c r="L189" s="7">
        <v>6</v>
      </c>
      <c r="M189" s="13">
        <v>25686</v>
      </c>
      <c r="N189" s="15">
        <v>-1.6852797793617807E-3</v>
      </c>
      <c r="O189" s="16">
        <v>5.0000000000000002E-5</v>
      </c>
      <c r="P189" s="18">
        <v>2.5426201492226255E-5</v>
      </c>
      <c r="Q189" s="16">
        <v>9.8360655737704918E-4</v>
      </c>
      <c r="R189" s="13">
        <f>IF(Marketing!$L189=0, 0, Marketing!$M189/Marketing!$L189)</f>
        <v>4281</v>
      </c>
      <c r="S189" s="13">
        <f>IF(Marketing!$J189=0,0,Marketing!$I189/Marketing!$J189)</f>
        <v>1.2876578717018883</v>
      </c>
      <c r="T189" s="13">
        <f>IF(Marketing!$K189=0,0,Marketing!$I189/Marketing!$K189)</f>
        <v>506.42950819672132</v>
      </c>
      <c r="U189" s="13">
        <f>Marketing!$M189 - Marketing!$I189</f>
        <v>-5206.2000000000007</v>
      </c>
      <c r="V189" s="13">
        <f>IF(Marketing!$L189=0,0,Marketing!$I189/Marketing!$L189)</f>
        <v>5148.7</v>
      </c>
      <c r="W189" s="7" t="str">
        <f>IF(ISNUMBER(SEARCH("tier1",Marketing!$E189)),"Tier 1","Tier 2")</f>
        <v>Tier 1</v>
      </c>
      <c r="X189" s="7" t="str">
        <f t="shared" si="2"/>
        <v>Tier 1</v>
      </c>
      <c r="Y189" s="7" t="str">
        <f>IF(WEEKDAY(Marketing!$D189,2)&lt;6,"Weekday","Weekend")</f>
        <v>Weekday</v>
      </c>
    </row>
    <row r="190" spans="1:25" x14ac:dyDescent="0.35">
      <c r="A190" s="5">
        <v>189</v>
      </c>
      <c r="B190" s="5" t="str">
        <f>TEXT(Marketing!$D190,"MMMM")</f>
        <v>February</v>
      </c>
      <c r="C190" s="5" t="str">
        <f>TEXT(Marketing!$D190,"DDDD")</f>
        <v>Thursday</v>
      </c>
      <c r="D190" s="6">
        <v>44245</v>
      </c>
      <c r="E190" s="7" t="s">
        <v>67</v>
      </c>
      <c r="F190" s="5" t="s">
        <v>2</v>
      </c>
      <c r="G190" s="5">
        <v>348934</v>
      </c>
      <c r="H190" s="5">
        <v>4678356</v>
      </c>
      <c r="I190" s="12">
        <v>373294</v>
      </c>
      <c r="J190" s="5">
        <v>33003</v>
      </c>
      <c r="K190" s="5">
        <v>1313</v>
      </c>
      <c r="L190" s="5">
        <v>51</v>
      </c>
      <c r="M190" s="12">
        <v>237711</v>
      </c>
      <c r="N190" s="14">
        <v>-3.6320701645351922E-3</v>
      </c>
      <c r="O190" s="16">
        <v>7.0544011614336318E-5</v>
      </c>
      <c r="P190" s="18">
        <v>3.9784262036784534E-4</v>
      </c>
      <c r="Q190" s="16">
        <v>3.8842345773038841E-4</v>
      </c>
      <c r="R190" s="12">
        <f>IF(Marketing!$L190=0, 0, Marketing!$M190/Marketing!$L190)</f>
        <v>4661</v>
      </c>
      <c r="S190" s="12">
        <f>IF(Marketing!$J190=0,0,Marketing!$I190/Marketing!$J190)</f>
        <v>11.310911129291277</v>
      </c>
      <c r="T190" s="12">
        <f>IF(Marketing!$K190=0,0,Marketing!$I190/Marketing!$K190)</f>
        <v>284.30616907844632</v>
      </c>
      <c r="U190" s="12">
        <f>Marketing!$M190 - Marketing!$I190</f>
        <v>-135583</v>
      </c>
      <c r="V190" s="12">
        <f>IF(Marketing!$L190=0,0,Marketing!$I190/Marketing!$L190)</f>
        <v>7319.4901960784309</v>
      </c>
      <c r="W190" s="5" t="str">
        <f>IF(ISNUMBER(SEARCH("tier1",Marketing!$E190)),"Tier 1","Tier 2")</f>
        <v>Tier 2</v>
      </c>
      <c r="X190" s="5" t="str">
        <f t="shared" si="2"/>
        <v>Tier 2</v>
      </c>
      <c r="Y190" s="5" t="str">
        <f>IF(WEEKDAY(Marketing!$D190,2)&lt;6,"Weekday","Weekend")</f>
        <v>Weekday</v>
      </c>
    </row>
    <row r="191" spans="1:25" x14ac:dyDescent="0.35">
      <c r="A191" s="7">
        <v>190</v>
      </c>
      <c r="B191" s="7" t="str">
        <f>TEXT(Marketing!$D191,"MMMM")</f>
        <v>February</v>
      </c>
      <c r="C191" s="7" t="str">
        <f>TEXT(Marketing!$D191,"DDDD")</f>
        <v>Thursday</v>
      </c>
      <c r="D191" s="8">
        <v>44245</v>
      </c>
      <c r="E191" s="7" t="s">
        <v>3</v>
      </c>
      <c r="F191" s="7" t="s">
        <v>4</v>
      </c>
      <c r="G191" s="7">
        <v>89459845</v>
      </c>
      <c r="H191" s="7">
        <v>527210</v>
      </c>
      <c r="I191" s="13">
        <v>119542</v>
      </c>
      <c r="J191" s="7">
        <v>9004</v>
      </c>
      <c r="K191" s="7">
        <v>162</v>
      </c>
      <c r="L191" s="7">
        <v>28</v>
      </c>
      <c r="M191" s="13">
        <v>214368</v>
      </c>
      <c r="N191" s="15">
        <v>7.9324421542219473E-3</v>
      </c>
      <c r="O191" s="16">
        <v>1.7078583486656172E-4</v>
      </c>
      <c r="P191" s="18">
        <v>1.799200355397601E-4</v>
      </c>
      <c r="Q191" s="16">
        <v>1.7283950617283949E-3</v>
      </c>
      <c r="R191" s="13">
        <f>IF(Marketing!$L191=0, 0, Marketing!$M191/Marketing!$L191)</f>
        <v>7656</v>
      </c>
      <c r="S191" s="13">
        <f>IF(Marketing!$J191=0,0,Marketing!$I191/Marketing!$J191)</f>
        <v>13.27654375832963</v>
      </c>
      <c r="T191" s="13">
        <f>IF(Marketing!$K191=0,0,Marketing!$I191/Marketing!$K191)</f>
        <v>737.91358024691363</v>
      </c>
      <c r="U191" s="13">
        <f>Marketing!$M191 - Marketing!$I191</f>
        <v>94826</v>
      </c>
      <c r="V191" s="13">
        <f>IF(Marketing!$L191=0,0,Marketing!$I191/Marketing!$L191)</f>
        <v>4269.3571428571431</v>
      </c>
      <c r="W191" s="7" t="str">
        <f>IF(ISNUMBER(SEARCH("tier1",Marketing!$E191)),"Tier 1","Tier 2")</f>
        <v>Tier 2</v>
      </c>
      <c r="X191" s="7" t="str">
        <f t="shared" si="2"/>
        <v>Tier 2</v>
      </c>
      <c r="Y191" s="7" t="str">
        <f>IF(WEEKDAY(Marketing!$D191,2)&lt;6,"Weekday","Weekend")</f>
        <v>Weekday</v>
      </c>
    </row>
    <row r="192" spans="1:25" x14ac:dyDescent="0.35">
      <c r="A192" s="5">
        <v>191</v>
      </c>
      <c r="B192" s="5" t="str">
        <f>TEXT(Marketing!$D192,"MMMM")</f>
        <v>February</v>
      </c>
      <c r="C192" s="5" t="str">
        <f>TEXT(Marketing!$D192,"DDDD")</f>
        <v>Thursday</v>
      </c>
      <c r="D192" s="6">
        <v>44245</v>
      </c>
      <c r="E192" s="5" t="s">
        <v>5</v>
      </c>
      <c r="F192" s="5" t="s">
        <v>4</v>
      </c>
      <c r="G192" s="5">
        <v>127823</v>
      </c>
      <c r="H192" s="5">
        <v>10593685</v>
      </c>
      <c r="I192" s="12">
        <v>200986</v>
      </c>
      <c r="J192" s="5">
        <v>24005</v>
      </c>
      <c r="K192" s="5">
        <v>480</v>
      </c>
      <c r="L192" s="5">
        <v>43</v>
      </c>
      <c r="M192" s="12">
        <v>93353</v>
      </c>
      <c r="N192" s="14">
        <v>-5.3552486242822881E-3</v>
      </c>
      <c r="O192" s="16">
        <v>2.2659726053776374E-5</v>
      </c>
      <c r="P192" s="18">
        <v>1.9995834201208082E-4</v>
      </c>
      <c r="Q192" s="16">
        <v>8.9583333333333333E-4</v>
      </c>
      <c r="R192" s="12">
        <f>IF(Marketing!$L192=0, 0, Marketing!$M192/Marketing!$L192)</f>
        <v>2171</v>
      </c>
      <c r="S192" s="12">
        <f>IF(Marketing!$J192=0,0,Marketing!$I192/Marketing!$J192)</f>
        <v>8.3726723599250157</v>
      </c>
      <c r="T192" s="12">
        <f>IF(Marketing!$K192=0,0,Marketing!$I192/Marketing!$K192)</f>
        <v>418.72083333333336</v>
      </c>
      <c r="U192" s="12">
        <f>Marketing!$M192 - Marketing!$I192</f>
        <v>-107633</v>
      </c>
      <c r="V192" s="12">
        <f>IF(Marketing!$L192=0,0,Marketing!$I192/Marketing!$L192)</f>
        <v>4674.0930232558139</v>
      </c>
      <c r="W192" s="5" t="str">
        <f>IF(ISNUMBER(SEARCH("tier1",Marketing!$E192)),"Tier 1","Tier 2")</f>
        <v>Tier 2</v>
      </c>
      <c r="X192" s="5" t="str">
        <f t="shared" si="2"/>
        <v>Tier 2</v>
      </c>
      <c r="Y192" s="5" t="str">
        <f>IF(WEEKDAY(Marketing!$D192,2)&lt;6,"Weekday","Weekend")</f>
        <v>Weekday</v>
      </c>
    </row>
    <row r="193" spans="1:25" x14ac:dyDescent="0.35">
      <c r="A193" s="7">
        <v>192</v>
      </c>
      <c r="B193" s="7" t="str">
        <f>TEXT(Marketing!$D193,"MMMM")</f>
        <v>February</v>
      </c>
      <c r="C193" s="7" t="str">
        <f>TEXT(Marketing!$D193,"DDDD")</f>
        <v>Thursday</v>
      </c>
      <c r="D193" s="8">
        <v>44245</v>
      </c>
      <c r="E193" s="7" t="s">
        <v>6</v>
      </c>
      <c r="F193" s="7" t="s">
        <v>7</v>
      </c>
      <c r="G193" s="7">
        <v>10934</v>
      </c>
      <c r="H193" s="7">
        <v>4064081</v>
      </c>
      <c r="I193" s="13">
        <v>86522.9</v>
      </c>
      <c r="J193" s="7">
        <v>45004</v>
      </c>
      <c r="K193" s="7">
        <v>144</v>
      </c>
      <c r="L193" s="7">
        <v>31</v>
      </c>
      <c r="M193" s="13">
        <v>256897</v>
      </c>
      <c r="N193" s="15">
        <v>1.9691214695762627E-2</v>
      </c>
      <c r="O193" s="16">
        <v>1.1073598188618781E-4</v>
      </c>
      <c r="P193" s="18">
        <v>3.1997155808372591E-5</v>
      </c>
      <c r="Q193" s="16">
        <v>2.1527777777777778E-3</v>
      </c>
      <c r="R193" s="13">
        <f>IF(Marketing!$L193=0, 0, Marketing!$M193/Marketing!$L193)</f>
        <v>8287</v>
      </c>
      <c r="S193" s="13">
        <f>IF(Marketing!$J193=0,0,Marketing!$I193/Marketing!$J193)</f>
        <v>1.9225602168696114</v>
      </c>
      <c r="T193" s="13">
        <f>IF(Marketing!$K193=0,0,Marketing!$I193/Marketing!$K193)</f>
        <v>600.85347222222219</v>
      </c>
      <c r="U193" s="13">
        <f>Marketing!$M193 - Marketing!$I193</f>
        <v>170374.1</v>
      </c>
      <c r="V193" s="13">
        <f>IF(Marketing!$L193=0,0,Marketing!$I193/Marketing!$L193)</f>
        <v>2791.0612903225806</v>
      </c>
      <c r="W193" s="7" t="str">
        <f>IF(ISNUMBER(SEARCH("tier1",Marketing!$E193)),"Tier 1","Tier 2")</f>
        <v>Tier 2</v>
      </c>
      <c r="X193" s="7" t="str">
        <f t="shared" si="2"/>
        <v>Tier 2</v>
      </c>
      <c r="Y193" s="7" t="str">
        <f>IF(WEEKDAY(Marketing!$D193,2)&lt;6,"Weekday","Weekend")</f>
        <v>Weekday</v>
      </c>
    </row>
    <row r="194" spans="1:25" x14ac:dyDescent="0.35">
      <c r="A194" s="5">
        <v>193</v>
      </c>
      <c r="B194" s="5" t="str">
        <f>TEXT(Marketing!$D194,"MMMM")</f>
        <v>February</v>
      </c>
      <c r="C194" s="5" t="str">
        <f>TEXT(Marketing!$D194,"DDDD")</f>
        <v>Thursday</v>
      </c>
      <c r="D194" s="6">
        <v>44245</v>
      </c>
      <c r="E194" s="5" t="s">
        <v>8</v>
      </c>
      <c r="F194" s="5" t="s">
        <v>2</v>
      </c>
      <c r="G194" s="5">
        <v>9034945</v>
      </c>
      <c r="H194" s="5">
        <v>11212959</v>
      </c>
      <c r="I194" s="12">
        <v>241388</v>
      </c>
      <c r="J194" s="5">
        <v>27009</v>
      </c>
      <c r="K194" s="5">
        <v>599</v>
      </c>
      <c r="L194" s="5">
        <v>72</v>
      </c>
      <c r="M194" s="12">
        <v>430632</v>
      </c>
      <c r="N194" s="14">
        <v>7.8398263376804143E-3</v>
      </c>
      <c r="O194" s="16">
        <v>2.4087308265374017E-5</v>
      </c>
      <c r="P194" s="18">
        <v>2.2177792587655968E-4</v>
      </c>
      <c r="Q194" s="16">
        <v>1.2020033388981638E-3</v>
      </c>
      <c r="R194" s="12">
        <f>IF(Marketing!$L194=0, 0, Marketing!$M194/Marketing!$L194)</f>
        <v>5981</v>
      </c>
      <c r="S194" s="12">
        <f>IF(Marketing!$J194=0,0,Marketing!$I194/Marketing!$J194)</f>
        <v>8.9373171905661071</v>
      </c>
      <c r="T194" s="12">
        <f>IF(Marketing!$K194=0,0,Marketing!$I194/Marketing!$K194)</f>
        <v>402.98497495826376</v>
      </c>
      <c r="U194" s="12">
        <f>Marketing!$M194 - Marketing!$I194</f>
        <v>189244</v>
      </c>
      <c r="V194" s="12">
        <f>IF(Marketing!$L194=0,0,Marketing!$I194/Marketing!$L194)</f>
        <v>3352.6111111111113</v>
      </c>
      <c r="W194" s="5" t="str">
        <f>IF(ISNUMBER(SEARCH("tier1",Marketing!$E194)),"Tier 1","Tier 2")</f>
        <v>Tier 1</v>
      </c>
      <c r="X194" s="5" t="str">
        <f t="shared" ref="X194:X257" si="3">IF(ISNUMBER(SEARCH("tier1", E194)), "Tier 1", IF(ISNUMBER(SEARCH("tier2", E194)), "Tier 2", "Tier 2"))</f>
        <v>Tier 1</v>
      </c>
      <c r="Y194" s="5" t="str">
        <f>IF(WEEKDAY(Marketing!$D194,2)&lt;6,"Weekday","Weekend")</f>
        <v>Weekday</v>
      </c>
    </row>
    <row r="195" spans="1:25" x14ac:dyDescent="0.35">
      <c r="A195" s="7">
        <v>194</v>
      </c>
      <c r="B195" s="7" t="str">
        <f>TEXT(Marketing!$D195,"MMMM")</f>
        <v>February</v>
      </c>
      <c r="C195" s="7" t="str">
        <f>TEXT(Marketing!$D195,"DDDD")</f>
        <v>Thursday</v>
      </c>
      <c r="D195" s="8">
        <v>44245</v>
      </c>
      <c r="E195" s="7" t="s">
        <v>9</v>
      </c>
      <c r="F195" s="7" t="s">
        <v>2</v>
      </c>
      <c r="G195" s="7">
        <v>983498</v>
      </c>
      <c r="H195" s="7">
        <v>13281923</v>
      </c>
      <c r="I195" s="13">
        <v>58596.4</v>
      </c>
      <c r="J195" s="7">
        <v>51000</v>
      </c>
      <c r="K195" s="7">
        <v>1020</v>
      </c>
      <c r="L195" s="7">
        <v>16</v>
      </c>
      <c r="M195" s="13">
        <v>36016</v>
      </c>
      <c r="N195" s="15">
        <v>-3.8535473169000146E-3</v>
      </c>
      <c r="O195" s="16">
        <v>3.8398054257655315E-5</v>
      </c>
      <c r="P195" s="18">
        <v>2.0000000000000001E-4</v>
      </c>
      <c r="Q195" s="16">
        <v>1.5686274509803922E-4</v>
      </c>
      <c r="R195" s="13">
        <f>IF(Marketing!$L195=0, 0, Marketing!$M195/Marketing!$L195)</f>
        <v>2251</v>
      </c>
      <c r="S195" s="13">
        <f>IF(Marketing!$J195=0,0,Marketing!$I195/Marketing!$J195)</f>
        <v>1.1489490196078431</v>
      </c>
      <c r="T195" s="13">
        <f>IF(Marketing!$K195=0,0,Marketing!$I195/Marketing!$K195)</f>
        <v>57.447450980392155</v>
      </c>
      <c r="U195" s="13">
        <f>Marketing!$M195 - Marketing!$I195</f>
        <v>-22580.400000000001</v>
      </c>
      <c r="V195" s="13">
        <f>IF(Marketing!$L195=0,0,Marketing!$I195/Marketing!$L195)</f>
        <v>3662.2750000000001</v>
      </c>
      <c r="W195" s="7" t="str">
        <f>IF(ISNUMBER(SEARCH("tier1",Marketing!$E195)),"Tier 1","Tier 2")</f>
        <v>Tier 2</v>
      </c>
      <c r="X195" s="7" t="str">
        <f t="shared" si="3"/>
        <v>Tier 2</v>
      </c>
      <c r="Y195" s="7" t="str">
        <f>IF(WEEKDAY(Marketing!$D195,2)&lt;6,"Weekday","Weekend")</f>
        <v>Weekday</v>
      </c>
    </row>
    <row r="196" spans="1:25" x14ac:dyDescent="0.35">
      <c r="A196" s="5">
        <v>195</v>
      </c>
      <c r="B196" s="5" t="str">
        <f>TEXT(Marketing!$D196,"MMMM")</f>
        <v>February</v>
      </c>
      <c r="C196" s="5" t="str">
        <f>TEXT(Marketing!$D196,"DDDD")</f>
        <v>Thursday</v>
      </c>
      <c r="D196" s="6">
        <v>44245</v>
      </c>
      <c r="E196" s="5" t="s">
        <v>10</v>
      </c>
      <c r="F196" s="5" t="s">
        <v>2</v>
      </c>
      <c r="G196" s="5">
        <v>4387490</v>
      </c>
      <c r="H196" s="5">
        <v>97885</v>
      </c>
      <c r="I196" s="12">
        <v>17176.7</v>
      </c>
      <c r="J196" s="5">
        <v>2991</v>
      </c>
      <c r="K196" s="5">
        <v>28</v>
      </c>
      <c r="L196" s="5">
        <v>6</v>
      </c>
      <c r="M196" s="12">
        <v>33930</v>
      </c>
      <c r="N196" s="14">
        <v>9.7535032922505486E-3</v>
      </c>
      <c r="O196" s="16">
        <v>3.0556265004852635E-4</v>
      </c>
      <c r="P196" s="18">
        <v>9.3614175860916082E-5</v>
      </c>
      <c r="Q196" s="16">
        <v>2.1428571428571425E-3</v>
      </c>
      <c r="R196" s="12">
        <f>IF(Marketing!$L196=0, 0, Marketing!$M196/Marketing!$L196)</f>
        <v>5655</v>
      </c>
      <c r="S196" s="12">
        <f>IF(Marketing!$J196=0,0,Marketing!$I196/Marketing!$J196)</f>
        <v>5.7427950518221333</v>
      </c>
      <c r="T196" s="12">
        <f>IF(Marketing!$K196=0,0,Marketing!$I196/Marketing!$K196)</f>
        <v>613.45357142857142</v>
      </c>
      <c r="U196" s="12">
        <f>Marketing!$M196 - Marketing!$I196</f>
        <v>16753.3</v>
      </c>
      <c r="V196" s="12">
        <f>IF(Marketing!$L196=0,0,Marketing!$I196/Marketing!$L196)</f>
        <v>2862.7833333333333</v>
      </c>
      <c r="W196" s="5" t="str">
        <f>IF(ISNUMBER(SEARCH("tier1",Marketing!$E196)),"Tier 1","Tier 2")</f>
        <v>Tier 2</v>
      </c>
      <c r="X196" s="5" t="str">
        <f t="shared" si="3"/>
        <v>Tier 2</v>
      </c>
      <c r="Y196" s="5" t="str">
        <f>IF(WEEKDAY(Marketing!$D196,2)&lt;6,"Weekday","Weekend")</f>
        <v>Weekday</v>
      </c>
    </row>
    <row r="197" spans="1:25" x14ac:dyDescent="0.35">
      <c r="A197" s="7">
        <v>196</v>
      </c>
      <c r="B197" s="7" t="str">
        <f>TEXT(Marketing!$D197,"MMMM")</f>
        <v>February</v>
      </c>
      <c r="C197" s="7" t="str">
        <f>TEXT(Marketing!$D197,"DDDD")</f>
        <v>Thursday</v>
      </c>
      <c r="D197" s="8">
        <v>44245</v>
      </c>
      <c r="E197" s="7" t="s">
        <v>11</v>
      </c>
      <c r="F197" s="7" t="s">
        <v>2</v>
      </c>
      <c r="G197" s="7">
        <v>544756</v>
      </c>
      <c r="H197" s="7">
        <v>1181224</v>
      </c>
      <c r="I197" s="13">
        <v>171831</v>
      </c>
      <c r="J197" s="7">
        <v>11991</v>
      </c>
      <c r="K197" s="7">
        <v>128</v>
      </c>
      <c r="L197" s="7">
        <v>19</v>
      </c>
      <c r="M197" s="13">
        <v>17917</v>
      </c>
      <c r="N197" s="15">
        <v>-8.9572894297303748E-3</v>
      </c>
      <c r="O197" s="16">
        <v>1.0151334547892695E-4</v>
      </c>
      <c r="P197" s="18">
        <v>1.0674672671170044E-4</v>
      </c>
      <c r="Q197" s="16">
        <v>1.484375E-3</v>
      </c>
      <c r="R197" s="13">
        <f>IF(Marketing!$L197=0, 0, Marketing!$M197/Marketing!$L197)</f>
        <v>943</v>
      </c>
      <c r="S197" s="13">
        <f>IF(Marketing!$J197=0,0,Marketing!$I197/Marketing!$J197)</f>
        <v>14.329997498123593</v>
      </c>
      <c r="T197" s="13">
        <f>IF(Marketing!$K197=0,0,Marketing!$I197/Marketing!$K197)</f>
        <v>1342.4296875</v>
      </c>
      <c r="U197" s="13">
        <f>Marketing!$M197 - Marketing!$I197</f>
        <v>-153914</v>
      </c>
      <c r="V197" s="13">
        <f>IF(Marketing!$L197=0,0,Marketing!$I197/Marketing!$L197)</f>
        <v>9043.7368421052633</v>
      </c>
      <c r="W197" s="7" t="str">
        <f>IF(ISNUMBER(SEARCH("tier1",Marketing!$E197)),"Tier 1","Tier 2")</f>
        <v>Tier 2</v>
      </c>
      <c r="X197" s="7" t="str">
        <f t="shared" si="3"/>
        <v>Tier 2</v>
      </c>
      <c r="Y197" s="7" t="str">
        <f>IF(WEEKDAY(Marketing!$D197,2)&lt;6,"Weekday","Weekend")</f>
        <v>Weekday</v>
      </c>
    </row>
    <row r="198" spans="1:25" x14ac:dyDescent="0.35">
      <c r="A198" s="5">
        <v>197</v>
      </c>
      <c r="B198" s="5" t="str">
        <f>TEXT(Marketing!$D198,"MMMM")</f>
        <v>February</v>
      </c>
      <c r="C198" s="5" t="str">
        <f>TEXT(Marketing!$D198,"DDDD")</f>
        <v>Thursday</v>
      </c>
      <c r="D198" s="6">
        <v>44245</v>
      </c>
      <c r="E198" s="5" t="s">
        <v>12</v>
      </c>
      <c r="F198" s="5" t="s">
        <v>7</v>
      </c>
      <c r="G198" s="5">
        <v>374754</v>
      </c>
      <c r="H198" s="5">
        <v>2482796</v>
      </c>
      <c r="I198" s="12">
        <v>518530</v>
      </c>
      <c r="J198" s="5">
        <v>30000</v>
      </c>
      <c r="K198" s="5">
        <v>1032</v>
      </c>
      <c r="L198" s="5">
        <v>134</v>
      </c>
      <c r="M198" s="12">
        <v>796630</v>
      </c>
      <c r="N198" s="14">
        <v>5.3632383854357512E-3</v>
      </c>
      <c r="O198" s="16">
        <v>1.2083151414775922E-4</v>
      </c>
      <c r="P198" s="18">
        <v>3.4400000000000001E-4</v>
      </c>
      <c r="Q198" s="16">
        <v>1.2984496124031008E-3</v>
      </c>
      <c r="R198" s="12">
        <f>IF(Marketing!$L198=0, 0, Marketing!$M198/Marketing!$L198)</f>
        <v>5945</v>
      </c>
      <c r="S198" s="12">
        <f>IF(Marketing!$J198=0,0,Marketing!$I198/Marketing!$J198)</f>
        <v>17.284333333333333</v>
      </c>
      <c r="T198" s="12">
        <f>IF(Marketing!$K198=0,0,Marketing!$I198/Marketing!$K198)</f>
        <v>502.45155038759691</v>
      </c>
      <c r="U198" s="12">
        <f>Marketing!$M198 - Marketing!$I198</f>
        <v>278100</v>
      </c>
      <c r="V198" s="12">
        <f>IF(Marketing!$L198=0,0,Marketing!$I198/Marketing!$L198)</f>
        <v>3869.626865671642</v>
      </c>
      <c r="W198" s="5" t="str">
        <f>IF(ISNUMBER(SEARCH("tier1",Marketing!$E198)),"Tier 1","Tier 2")</f>
        <v>Tier 2</v>
      </c>
      <c r="X198" s="5" t="str">
        <f t="shared" si="3"/>
        <v>Tier 2</v>
      </c>
      <c r="Y198" s="5" t="str">
        <f>IF(WEEKDAY(Marketing!$D198,2)&lt;6,"Weekday","Weekend")</f>
        <v>Weekday</v>
      </c>
    </row>
    <row r="199" spans="1:25" x14ac:dyDescent="0.35">
      <c r="A199" s="7">
        <v>198</v>
      </c>
      <c r="B199" s="7" t="str">
        <f>TEXT(Marketing!$D199,"MMMM")</f>
        <v>February</v>
      </c>
      <c r="C199" s="7" t="str">
        <f>TEXT(Marketing!$D199,"DDDD")</f>
        <v>Thursday</v>
      </c>
      <c r="D199" s="8">
        <v>44245</v>
      </c>
      <c r="E199" s="7" t="s">
        <v>13</v>
      </c>
      <c r="F199" s="7" t="s">
        <v>14</v>
      </c>
      <c r="G199" s="7">
        <v>39889</v>
      </c>
      <c r="H199" s="7">
        <v>419970000</v>
      </c>
      <c r="I199" s="13">
        <v>339735</v>
      </c>
      <c r="J199" s="7">
        <v>41997</v>
      </c>
      <c r="K199" s="7">
        <v>840</v>
      </c>
      <c r="L199" s="7">
        <v>114</v>
      </c>
      <c r="M199" s="13">
        <v>516420</v>
      </c>
      <c r="N199" s="15">
        <v>5.2006711113073423E-3</v>
      </c>
      <c r="O199" s="16">
        <v>9.9999999999999995E-7</v>
      </c>
      <c r="P199" s="18">
        <v>2.0001428673476675E-4</v>
      </c>
      <c r="Q199" s="16">
        <v>1.3571428571428571E-3</v>
      </c>
      <c r="R199" s="13">
        <f>IF(Marketing!$L199=0, 0, Marketing!$M199/Marketing!$L199)</f>
        <v>4530</v>
      </c>
      <c r="S199" s="13">
        <f>IF(Marketing!$J199=0,0,Marketing!$I199/Marketing!$J199)</f>
        <v>8.0895063933138083</v>
      </c>
      <c r="T199" s="13">
        <f>IF(Marketing!$K199=0,0,Marketing!$I199/Marketing!$K199)</f>
        <v>404.44642857142856</v>
      </c>
      <c r="U199" s="13">
        <f>Marketing!$M199 - Marketing!$I199</f>
        <v>176685</v>
      </c>
      <c r="V199" s="13">
        <f>IF(Marketing!$L199=0,0,Marketing!$I199/Marketing!$L199)</f>
        <v>2980.1315789473683</v>
      </c>
      <c r="W199" s="7" t="str">
        <f>IF(ISNUMBER(SEARCH("tier1",Marketing!$E199)),"Tier 1","Tier 2")</f>
        <v>Tier 2</v>
      </c>
      <c r="X199" s="7" t="str">
        <f t="shared" si="3"/>
        <v>Tier 2</v>
      </c>
      <c r="Y199" s="7" t="str">
        <f>IF(WEEKDAY(Marketing!$D199,2)&lt;6,"Weekday","Weekend")</f>
        <v>Weekday</v>
      </c>
    </row>
    <row r="200" spans="1:25" x14ac:dyDescent="0.35">
      <c r="A200" s="5">
        <v>199</v>
      </c>
      <c r="B200" s="5" t="str">
        <f>TEXT(Marketing!$D200,"MMMM")</f>
        <v>February</v>
      </c>
      <c r="C200" s="5" t="str">
        <f>TEXT(Marketing!$D200,"DDDD")</f>
        <v>Friday</v>
      </c>
      <c r="D200" s="6">
        <v>44246</v>
      </c>
      <c r="E200" s="5" t="s">
        <v>1</v>
      </c>
      <c r="F200" s="5" t="s">
        <v>2</v>
      </c>
      <c r="G200" s="5">
        <v>349043</v>
      </c>
      <c r="H200" s="5">
        <v>15345139</v>
      </c>
      <c r="I200" s="12">
        <v>53253.9</v>
      </c>
      <c r="J200" s="5">
        <v>26407</v>
      </c>
      <c r="K200" s="5">
        <v>71</v>
      </c>
      <c r="L200" s="5">
        <v>10</v>
      </c>
      <c r="M200" s="12">
        <v>44550</v>
      </c>
      <c r="N200" s="14">
        <v>-1.6344155075966268E-3</v>
      </c>
      <c r="O200" s="16">
        <v>1.7208706939702536E-5</v>
      </c>
      <c r="P200" s="18">
        <v>2.6886810315446663E-5</v>
      </c>
      <c r="Q200" s="16">
        <v>1.4084507042253522E-3</v>
      </c>
      <c r="R200" s="12">
        <f>IF(Marketing!$L200=0, 0, Marketing!$M200/Marketing!$L200)</f>
        <v>4455</v>
      </c>
      <c r="S200" s="12">
        <f>IF(Marketing!$J200=0,0,Marketing!$I200/Marketing!$J200)</f>
        <v>2.0166584617715002</v>
      </c>
      <c r="T200" s="12">
        <f>IF(Marketing!$K200=0,0,Marketing!$I200/Marketing!$K200)</f>
        <v>750.0549295774648</v>
      </c>
      <c r="U200" s="12">
        <f>Marketing!$M200 - Marketing!$I200</f>
        <v>-8703.9000000000015</v>
      </c>
      <c r="V200" s="12">
        <f>IF(Marketing!$L200=0,0,Marketing!$I200/Marketing!$L200)</f>
        <v>5325.39</v>
      </c>
      <c r="W200" s="5" t="str">
        <f>IF(ISNUMBER(SEARCH("tier1",Marketing!$E200)),"Tier 1","Tier 2")</f>
        <v>Tier 1</v>
      </c>
      <c r="X200" s="5" t="str">
        <f t="shared" si="3"/>
        <v>Tier 1</v>
      </c>
      <c r="Y200" s="5" t="str">
        <f>IF(WEEKDAY(Marketing!$D200,2)&lt;6,"Weekday","Weekend")</f>
        <v>Weekday</v>
      </c>
    </row>
    <row r="201" spans="1:25" x14ac:dyDescent="0.35">
      <c r="A201" s="7">
        <v>200</v>
      </c>
      <c r="B201" s="7" t="str">
        <f>TEXT(Marketing!$D201,"MMMM")</f>
        <v>February</v>
      </c>
      <c r="C201" s="7" t="str">
        <f>TEXT(Marketing!$D201,"DDDD")</f>
        <v>Friday</v>
      </c>
      <c r="D201" s="8">
        <v>44246</v>
      </c>
      <c r="E201" s="7" t="s">
        <v>67</v>
      </c>
      <c r="F201" s="7" t="s">
        <v>2</v>
      </c>
      <c r="G201" s="7">
        <v>348934</v>
      </c>
      <c r="H201" s="7">
        <v>7260800</v>
      </c>
      <c r="I201" s="13">
        <v>415376</v>
      </c>
      <c r="J201" s="7">
        <v>36304</v>
      </c>
      <c r="K201" s="7">
        <v>726</v>
      </c>
      <c r="L201" s="7">
        <v>58</v>
      </c>
      <c r="M201" s="13">
        <v>288898</v>
      </c>
      <c r="N201" s="15">
        <v>-3.0449038943029926E-3</v>
      </c>
      <c r="O201" s="16">
        <v>5.0000000000000002E-5</v>
      </c>
      <c r="P201" s="18">
        <v>1.9997796386073163E-4</v>
      </c>
      <c r="Q201" s="16">
        <v>7.9889807162534436E-4</v>
      </c>
      <c r="R201" s="13">
        <f>IF(Marketing!$L201=0, 0, Marketing!$M201/Marketing!$L201)</f>
        <v>4981</v>
      </c>
      <c r="S201" s="13">
        <f>IF(Marketing!$J201=0,0,Marketing!$I201/Marketing!$J201)</f>
        <v>11.44160423093874</v>
      </c>
      <c r="T201" s="13">
        <f>IF(Marketing!$K201=0,0,Marketing!$I201/Marketing!$K201)</f>
        <v>572.14325068870528</v>
      </c>
      <c r="U201" s="13">
        <f>Marketing!$M201 - Marketing!$I201</f>
        <v>-126478</v>
      </c>
      <c r="V201" s="13">
        <f>IF(Marketing!$L201=0,0,Marketing!$I201/Marketing!$L201)</f>
        <v>7161.6551724137935</v>
      </c>
      <c r="W201" s="7" t="str">
        <f>IF(ISNUMBER(SEARCH("tier1",Marketing!$E201)),"Tier 1","Tier 2")</f>
        <v>Tier 2</v>
      </c>
      <c r="X201" s="7" t="str">
        <f t="shared" si="3"/>
        <v>Tier 2</v>
      </c>
      <c r="Y201" s="7" t="str">
        <f>IF(WEEKDAY(Marketing!$D201,2)&lt;6,"Weekday","Weekend")</f>
        <v>Weekday</v>
      </c>
    </row>
    <row r="202" spans="1:25" x14ac:dyDescent="0.35">
      <c r="A202" s="5">
        <v>201</v>
      </c>
      <c r="B202" s="5" t="str">
        <f>TEXT(Marketing!$D202,"MMMM")</f>
        <v>February</v>
      </c>
      <c r="C202" s="5" t="str">
        <f>TEXT(Marketing!$D202,"DDDD")</f>
        <v>Friday</v>
      </c>
      <c r="D202" s="6">
        <v>44246</v>
      </c>
      <c r="E202" s="5" t="s">
        <v>3</v>
      </c>
      <c r="F202" s="5" t="s">
        <v>4</v>
      </c>
      <c r="G202" s="5">
        <v>89459845</v>
      </c>
      <c r="H202" s="5">
        <v>413291</v>
      </c>
      <c r="I202" s="12">
        <v>9777.5499999999993</v>
      </c>
      <c r="J202" s="5">
        <v>9904</v>
      </c>
      <c r="K202" s="5">
        <v>14</v>
      </c>
      <c r="L202" s="5">
        <v>2</v>
      </c>
      <c r="M202" s="12">
        <v>15962</v>
      </c>
      <c r="N202" s="14">
        <v>6.3251530291330658E-3</v>
      </c>
      <c r="O202" s="16">
        <v>2.3963744673849657E-4</v>
      </c>
      <c r="P202" s="18">
        <v>1.4135702746365104E-5</v>
      </c>
      <c r="Q202" s="16">
        <v>1.4285714285714286E-3</v>
      </c>
      <c r="R202" s="12">
        <f>IF(Marketing!$L202=0, 0, Marketing!$M202/Marketing!$L202)</f>
        <v>7981</v>
      </c>
      <c r="S202" s="12">
        <f>IF(Marketing!$J202=0,0,Marketing!$I202/Marketing!$J202)</f>
        <v>0.98723243134087235</v>
      </c>
      <c r="T202" s="12">
        <f>IF(Marketing!$K202=0,0,Marketing!$I202/Marketing!$K202)</f>
        <v>698.39642857142849</v>
      </c>
      <c r="U202" s="12">
        <f>Marketing!$M202 - Marketing!$I202</f>
        <v>6184.4500000000007</v>
      </c>
      <c r="V202" s="12">
        <f>IF(Marketing!$L202=0,0,Marketing!$I202/Marketing!$L202)</f>
        <v>4888.7749999999996</v>
      </c>
      <c r="W202" s="5" t="str">
        <f>IF(ISNUMBER(SEARCH("tier1",Marketing!$E202)),"Tier 1","Tier 2")</f>
        <v>Tier 2</v>
      </c>
      <c r="X202" s="5" t="str">
        <f t="shared" si="3"/>
        <v>Tier 2</v>
      </c>
      <c r="Y202" s="5" t="str">
        <f>IF(WEEKDAY(Marketing!$D202,2)&lt;6,"Weekday","Weekend")</f>
        <v>Weekday</v>
      </c>
    </row>
    <row r="203" spans="1:25" x14ac:dyDescent="0.35">
      <c r="A203" s="7">
        <v>202</v>
      </c>
      <c r="B203" s="7" t="str">
        <f>TEXT(Marketing!$D203,"MMMM")</f>
        <v>February</v>
      </c>
      <c r="C203" s="7" t="str">
        <f>TEXT(Marketing!$D203,"DDDD")</f>
        <v>Friday</v>
      </c>
      <c r="D203" s="8">
        <v>44246</v>
      </c>
      <c r="E203" s="7" t="s">
        <v>5</v>
      </c>
      <c r="F203" s="7" t="s">
        <v>4</v>
      </c>
      <c r="G203" s="7">
        <v>127823</v>
      </c>
      <c r="H203" s="7">
        <v>8455475</v>
      </c>
      <c r="I203" s="13">
        <v>81623.5</v>
      </c>
      <c r="J203" s="7">
        <v>26406</v>
      </c>
      <c r="K203" s="7">
        <v>281</v>
      </c>
      <c r="L203" s="7">
        <v>20</v>
      </c>
      <c r="M203" s="13">
        <v>72300</v>
      </c>
      <c r="N203" s="15">
        <v>-1.1422568255465644E-3</v>
      </c>
      <c r="O203" s="16">
        <v>3.1229469663147249E-5</v>
      </c>
      <c r="P203" s="18">
        <v>1.0641520866469741E-4</v>
      </c>
      <c r="Q203" s="16">
        <v>7.1174377224199293E-4</v>
      </c>
      <c r="R203" s="13">
        <f>IF(Marketing!$L203=0, 0, Marketing!$M203/Marketing!$L203)</f>
        <v>3615</v>
      </c>
      <c r="S203" s="13">
        <f>IF(Marketing!$J203=0,0,Marketing!$I203/Marketing!$J203)</f>
        <v>3.0910967204423239</v>
      </c>
      <c r="T203" s="13">
        <f>IF(Marketing!$K203=0,0,Marketing!$I203/Marketing!$K203)</f>
        <v>290.47508896797154</v>
      </c>
      <c r="U203" s="13">
        <f>Marketing!$M203 - Marketing!$I203</f>
        <v>-9323.5</v>
      </c>
      <c r="V203" s="13">
        <f>IF(Marketing!$L203=0,0,Marketing!$I203/Marketing!$L203)</f>
        <v>4081.1750000000002</v>
      </c>
      <c r="W203" s="7" t="str">
        <f>IF(ISNUMBER(SEARCH("tier1",Marketing!$E203)),"Tier 1","Tier 2")</f>
        <v>Tier 2</v>
      </c>
      <c r="X203" s="7" t="str">
        <f t="shared" si="3"/>
        <v>Tier 2</v>
      </c>
      <c r="Y203" s="7" t="str">
        <f>IF(WEEKDAY(Marketing!$D203,2)&lt;6,"Weekday","Weekend")</f>
        <v>Weekday</v>
      </c>
    </row>
    <row r="204" spans="1:25" x14ac:dyDescent="0.35">
      <c r="A204" s="5">
        <v>203</v>
      </c>
      <c r="B204" s="5" t="str">
        <f>TEXT(Marketing!$D204,"MMMM")</f>
        <v>February</v>
      </c>
      <c r="C204" s="5" t="str">
        <f>TEXT(Marketing!$D204,"DDDD")</f>
        <v>Friday</v>
      </c>
      <c r="D204" s="6">
        <v>44246</v>
      </c>
      <c r="E204" s="5" t="s">
        <v>6</v>
      </c>
      <c r="F204" s="5" t="s">
        <v>7</v>
      </c>
      <c r="G204" s="5">
        <v>10934</v>
      </c>
      <c r="H204" s="5">
        <v>3801165</v>
      </c>
      <c r="I204" s="12">
        <v>880357</v>
      </c>
      <c r="J204" s="5">
        <v>49510</v>
      </c>
      <c r="K204" s="5">
        <v>1666</v>
      </c>
      <c r="L204" s="5">
        <v>369</v>
      </c>
      <c r="M204" s="12">
        <v>2812520</v>
      </c>
      <c r="N204" s="14">
        <v>2.1947494027990917E-2</v>
      </c>
      <c r="O204" s="16">
        <v>1.3024954191675445E-4</v>
      </c>
      <c r="P204" s="18">
        <v>3.3649767723692187E-4</v>
      </c>
      <c r="Q204" s="16">
        <v>2.2148859543817527E-3</v>
      </c>
      <c r="R204" s="12">
        <f>IF(Marketing!$L204=0, 0, Marketing!$M204/Marketing!$L204)</f>
        <v>7622.0054200542008</v>
      </c>
      <c r="S204" s="12">
        <f>IF(Marketing!$J204=0,0,Marketing!$I204/Marketing!$J204)</f>
        <v>17.781397697434862</v>
      </c>
      <c r="T204" s="12">
        <f>IF(Marketing!$K204=0,0,Marketing!$I204/Marketing!$K204)</f>
        <v>528.42557022809126</v>
      </c>
      <c r="U204" s="12">
        <f>Marketing!$M204 - Marketing!$I204</f>
        <v>1932163</v>
      </c>
      <c r="V204" s="12">
        <f>IF(Marketing!$L204=0,0,Marketing!$I204/Marketing!$L204)</f>
        <v>2385.791327913279</v>
      </c>
      <c r="W204" s="5" t="str">
        <f>IF(ISNUMBER(SEARCH("tier1",Marketing!$E204)),"Tier 1","Tier 2")</f>
        <v>Tier 2</v>
      </c>
      <c r="X204" s="5" t="str">
        <f t="shared" si="3"/>
        <v>Tier 2</v>
      </c>
      <c r="Y204" s="5" t="str">
        <f>IF(WEEKDAY(Marketing!$D204,2)&lt;6,"Weekday","Weekend")</f>
        <v>Weekday</v>
      </c>
    </row>
    <row r="205" spans="1:25" x14ac:dyDescent="0.35">
      <c r="A205" s="7">
        <v>204</v>
      </c>
      <c r="B205" s="7" t="str">
        <f>TEXT(Marketing!$D205,"MMMM")</f>
        <v>February</v>
      </c>
      <c r="C205" s="7" t="str">
        <f>TEXT(Marketing!$D205,"DDDD")</f>
        <v>Friday</v>
      </c>
      <c r="D205" s="8">
        <v>44246</v>
      </c>
      <c r="E205" s="7" t="s">
        <v>8</v>
      </c>
      <c r="F205" s="7" t="s">
        <v>2</v>
      </c>
      <c r="G205" s="7">
        <v>9034945</v>
      </c>
      <c r="H205" s="7">
        <v>6168252</v>
      </c>
      <c r="I205" s="13">
        <v>300775</v>
      </c>
      <c r="J205" s="7">
        <v>29699</v>
      </c>
      <c r="K205" s="7">
        <v>1082</v>
      </c>
      <c r="L205" s="7">
        <v>96</v>
      </c>
      <c r="M205" s="13">
        <v>574176</v>
      </c>
      <c r="N205" s="15">
        <v>9.0898844651317433E-3</v>
      </c>
      <c r="O205" s="16">
        <v>4.8148162558857841E-5</v>
      </c>
      <c r="P205" s="18">
        <v>3.6432203104481633E-4</v>
      </c>
      <c r="Q205" s="16">
        <v>8.8724584103512018E-4</v>
      </c>
      <c r="R205" s="13">
        <f>IF(Marketing!$L205=0, 0, Marketing!$M205/Marketing!$L205)</f>
        <v>5981</v>
      </c>
      <c r="S205" s="13">
        <f>IF(Marketing!$J205=0,0,Marketing!$I205/Marketing!$J205)</f>
        <v>10.127445368530926</v>
      </c>
      <c r="T205" s="13">
        <f>IF(Marketing!$K205=0,0,Marketing!$I205/Marketing!$K205)</f>
        <v>277.98059149722735</v>
      </c>
      <c r="U205" s="13">
        <f>Marketing!$M205 - Marketing!$I205</f>
        <v>273401</v>
      </c>
      <c r="V205" s="13">
        <f>IF(Marketing!$L205=0,0,Marketing!$I205/Marketing!$L205)</f>
        <v>3133.0729166666665</v>
      </c>
      <c r="W205" s="7" t="str">
        <f>IF(ISNUMBER(SEARCH("tier1",Marketing!$E205)),"Tier 1","Tier 2")</f>
        <v>Tier 1</v>
      </c>
      <c r="X205" s="7" t="str">
        <f t="shared" si="3"/>
        <v>Tier 1</v>
      </c>
      <c r="Y205" s="7" t="str">
        <f>IF(WEEKDAY(Marketing!$D205,2)&lt;6,"Weekday","Weekend")</f>
        <v>Weekday</v>
      </c>
    </row>
    <row r="206" spans="1:25" x14ac:dyDescent="0.35">
      <c r="A206" s="5">
        <v>205</v>
      </c>
      <c r="B206" s="5" t="str">
        <f>TEXT(Marketing!$D206,"MMMM")</f>
        <v>February</v>
      </c>
      <c r="C206" s="5" t="str">
        <f>TEXT(Marketing!$D206,"DDDD")</f>
        <v>Friday</v>
      </c>
      <c r="D206" s="6">
        <v>44246</v>
      </c>
      <c r="E206" s="5" t="s">
        <v>9</v>
      </c>
      <c r="F206" s="5" t="s">
        <v>2</v>
      </c>
      <c r="G206" s="5">
        <v>983498</v>
      </c>
      <c r="H206" s="5">
        <v>11222000</v>
      </c>
      <c r="I206" s="12">
        <v>9908.98</v>
      </c>
      <c r="J206" s="5">
        <v>56110</v>
      </c>
      <c r="K206" s="5">
        <v>185</v>
      </c>
      <c r="L206" s="5">
        <v>3</v>
      </c>
      <c r="M206" s="12">
        <v>3621</v>
      </c>
      <c r="N206" s="14">
        <v>-6.3457389156098805E-3</v>
      </c>
      <c r="O206" s="16">
        <v>5.0000000000000002E-5</v>
      </c>
      <c r="P206" s="18">
        <v>3.2970949919800396E-5</v>
      </c>
      <c r="Q206" s="16">
        <v>1.6216216216216218E-4</v>
      </c>
      <c r="R206" s="12">
        <f>IF(Marketing!$L206=0, 0, Marketing!$M206/Marketing!$L206)</f>
        <v>1207</v>
      </c>
      <c r="S206" s="12">
        <f>IF(Marketing!$J206=0,0,Marketing!$I206/Marketing!$J206)</f>
        <v>0.17659918018178578</v>
      </c>
      <c r="T206" s="12">
        <f>IF(Marketing!$K206=0,0,Marketing!$I206/Marketing!$K206)</f>
        <v>53.562054054054052</v>
      </c>
      <c r="U206" s="12">
        <f>Marketing!$M206 - Marketing!$I206</f>
        <v>-6287.98</v>
      </c>
      <c r="V206" s="12">
        <f>IF(Marketing!$L206=0,0,Marketing!$I206/Marketing!$L206)</f>
        <v>3302.9933333333333</v>
      </c>
      <c r="W206" s="5" t="str">
        <f>IF(ISNUMBER(SEARCH("tier1",Marketing!$E206)),"Tier 1","Tier 2")</f>
        <v>Tier 2</v>
      </c>
      <c r="X206" s="5" t="str">
        <f t="shared" si="3"/>
        <v>Tier 2</v>
      </c>
      <c r="Y206" s="5" t="str">
        <f>IF(WEEKDAY(Marketing!$D206,2)&lt;6,"Weekday","Weekend")</f>
        <v>Weekday</v>
      </c>
    </row>
    <row r="207" spans="1:25" x14ac:dyDescent="0.35">
      <c r="A207" s="7">
        <v>206</v>
      </c>
      <c r="B207" s="7" t="str">
        <f>TEXT(Marketing!$D207,"MMMM")</f>
        <v>February</v>
      </c>
      <c r="C207" s="7" t="str">
        <f>TEXT(Marketing!$D207,"DDDD")</f>
        <v>Friday</v>
      </c>
      <c r="D207" s="8">
        <v>44246</v>
      </c>
      <c r="E207" s="7" t="s">
        <v>10</v>
      </c>
      <c r="F207" s="7" t="s">
        <v>2</v>
      </c>
      <c r="G207" s="7">
        <v>4387490</v>
      </c>
      <c r="H207" s="7">
        <v>115166</v>
      </c>
      <c r="I207" s="13">
        <v>3173.41</v>
      </c>
      <c r="J207" s="7">
        <v>3297</v>
      </c>
      <c r="K207" s="7">
        <v>7</v>
      </c>
      <c r="L207" s="7">
        <v>1</v>
      </c>
      <c r="M207" s="13">
        <v>5199</v>
      </c>
      <c r="N207" s="15">
        <v>6.3830075533889419E-3</v>
      </c>
      <c r="O207" s="16">
        <v>2.8628240973898548E-4</v>
      </c>
      <c r="P207" s="18">
        <v>2.1231422505307854E-5</v>
      </c>
      <c r="Q207" s="16">
        <v>1.4285714285714286E-3</v>
      </c>
      <c r="R207" s="13">
        <f>IF(Marketing!$L207=0, 0, Marketing!$M207/Marketing!$L207)</f>
        <v>5199</v>
      </c>
      <c r="S207" s="13">
        <f>IF(Marketing!$J207=0,0,Marketing!$I207/Marketing!$J207)</f>
        <v>0.96251440703669999</v>
      </c>
      <c r="T207" s="13">
        <f>IF(Marketing!$K207=0,0,Marketing!$I207/Marketing!$K207)</f>
        <v>453.34428571428572</v>
      </c>
      <c r="U207" s="13">
        <f>Marketing!$M207 - Marketing!$I207</f>
        <v>2025.5900000000001</v>
      </c>
      <c r="V207" s="13">
        <f>IF(Marketing!$L207=0,0,Marketing!$I207/Marketing!$L207)</f>
        <v>3173.41</v>
      </c>
      <c r="W207" s="7" t="str">
        <f>IF(ISNUMBER(SEARCH("tier1",Marketing!$E207)),"Tier 1","Tier 2")</f>
        <v>Tier 2</v>
      </c>
      <c r="X207" s="7" t="str">
        <f t="shared" si="3"/>
        <v>Tier 2</v>
      </c>
      <c r="Y207" s="7" t="str">
        <f>IF(WEEKDAY(Marketing!$D207,2)&lt;6,"Weekday","Weekend")</f>
        <v>Weekday</v>
      </c>
    </row>
    <row r="208" spans="1:25" x14ac:dyDescent="0.35">
      <c r="A208" s="5">
        <v>207</v>
      </c>
      <c r="B208" s="5" t="str">
        <f>TEXT(Marketing!$D208,"MMMM")</f>
        <v>February</v>
      </c>
      <c r="C208" s="5" t="str">
        <f>TEXT(Marketing!$D208,"DDDD")</f>
        <v>Friday</v>
      </c>
      <c r="D208" s="6">
        <v>44246</v>
      </c>
      <c r="E208" s="5" t="s">
        <v>11</v>
      </c>
      <c r="F208" s="5" t="s">
        <v>2</v>
      </c>
      <c r="G208" s="5">
        <v>544756</v>
      </c>
      <c r="H208" s="5">
        <v>1320200</v>
      </c>
      <c r="I208" s="12">
        <v>440355</v>
      </c>
      <c r="J208" s="5">
        <v>13202</v>
      </c>
      <c r="K208" s="5">
        <v>264</v>
      </c>
      <c r="L208" s="5">
        <v>45</v>
      </c>
      <c r="M208" s="12">
        <v>80325</v>
      </c>
      <c r="N208" s="14">
        <v>-8.1759035323772863E-3</v>
      </c>
      <c r="O208" s="16">
        <v>1E-4</v>
      </c>
      <c r="P208" s="18">
        <v>1.9996970156036965E-4</v>
      </c>
      <c r="Q208" s="16">
        <v>1.7045454545454545E-3</v>
      </c>
      <c r="R208" s="12">
        <f>IF(Marketing!$L208=0, 0, Marketing!$M208/Marketing!$L208)</f>
        <v>1785</v>
      </c>
      <c r="S208" s="12">
        <f>IF(Marketing!$J208=0,0,Marketing!$I208/Marketing!$J208)</f>
        <v>33.355173458566881</v>
      </c>
      <c r="T208" s="12">
        <f>IF(Marketing!$K208=0,0,Marketing!$I208/Marketing!$K208)</f>
        <v>1668.0113636363637</v>
      </c>
      <c r="U208" s="12">
        <f>Marketing!$M208 - Marketing!$I208</f>
        <v>-360030</v>
      </c>
      <c r="V208" s="12">
        <f>IF(Marketing!$L208=0,0,Marketing!$I208/Marketing!$L208)</f>
        <v>9785.6666666666661</v>
      </c>
      <c r="W208" s="5" t="str">
        <f>IF(ISNUMBER(SEARCH("tier1",Marketing!$E208)),"Tier 1","Tier 2")</f>
        <v>Tier 2</v>
      </c>
      <c r="X208" s="5" t="str">
        <f t="shared" si="3"/>
        <v>Tier 2</v>
      </c>
      <c r="Y208" s="5" t="str">
        <f>IF(WEEKDAY(Marketing!$D208,2)&lt;6,"Weekday","Weekend")</f>
        <v>Weekday</v>
      </c>
    </row>
    <row r="209" spans="1:25" x14ac:dyDescent="0.35">
      <c r="A209" s="7">
        <v>208</v>
      </c>
      <c r="B209" s="7" t="str">
        <f>TEXT(Marketing!$D209,"MMMM")</f>
        <v>February</v>
      </c>
      <c r="C209" s="7" t="str">
        <f>TEXT(Marketing!$D209,"DDDD")</f>
        <v>Friday</v>
      </c>
      <c r="D209" s="8">
        <v>44246</v>
      </c>
      <c r="E209" s="7" t="s">
        <v>12</v>
      </c>
      <c r="F209" s="7" t="s">
        <v>7</v>
      </c>
      <c r="G209" s="7">
        <v>374754</v>
      </c>
      <c r="H209" s="7">
        <v>3299900</v>
      </c>
      <c r="I209" s="13">
        <v>404285</v>
      </c>
      <c r="J209" s="7">
        <v>32999</v>
      </c>
      <c r="K209" s="7">
        <v>694</v>
      </c>
      <c r="L209" s="7">
        <v>104</v>
      </c>
      <c r="M209" s="13">
        <v>519272</v>
      </c>
      <c r="N209" s="15">
        <v>2.8442064385272763E-3</v>
      </c>
      <c r="O209" s="16">
        <v>1E-4</v>
      </c>
      <c r="P209" s="18">
        <v>2.1030940331525199E-4</v>
      </c>
      <c r="Q209" s="16">
        <v>1.4985590778097981E-3</v>
      </c>
      <c r="R209" s="13">
        <f>IF(Marketing!$L209=0, 0, Marketing!$M209/Marketing!$L209)</f>
        <v>4993</v>
      </c>
      <c r="S209" s="13">
        <f>IF(Marketing!$J209=0,0,Marketing!$I209/Marketing!$J209)</f>
        <v>12.251431861571563</v>
      </c>
      <c r="T209" s="13">
        <f>IF(Marketing!$K209=0,0,Marketing!$I209/Marketing!$K209)</f>
        <v>582.54322766570601</v>
      </c>
      <c r="U209" s="13">
        <f>Marketing!$M209 - Marketing!$I209</f>
        <v>114987</v>
      </c>
      <c r="V209" s="13">
        <f>IF(Marketing!$L209=0,0,Marketing!$I209/Marketing!$L209)</f>
        <v>3887.3557692307691</v>
      </c>
      <c r="W209" s="7" t="str">
        <f>IF(ISNUMBER(SEARCH("tier1",Marketing!$E209)),"Tier 1","Tier 2")</f>
        <v>Tier 2</v>
      </c>
      <c r="X209" s="7" t="str">
        <f t="shared" si="3"/>
        <v>Tier 2</v>
      </c>
      <c r="Y209" s="7" t="str">
        <f>IF(WEEKDAY(Marketing!$D209,2)&lt;6,"Weekday","Weekend")</f>
        <v>Weekday</v>
      </c>
    </row>
    <row r="210" spans="1:25" x14ac:dyDescent="0.35">
      <c r="A210" s="5">
        <v>209</v>
      </c>
      <c r="B210" s="5" t="str">
        <f>TEXT(Marketing!$D210,"MMMM")</f>
        <v>February</v>
      </c>
      <c r="C210" s="5" t="str">
        <f>TEXT(Marketing!$D210,"DDDD")</f>
        <v>Friday</v>
      </c>
      <c r="D210" s="6">
        <v>44246</v>
      </c>
      <c r="E210" s="5" t="s">
        <v>13</v>
      </c>
      <c r="F210" s="5" t="s">
        <v>14</v>
      </c>
      <c r="G210" s="5">
        <v>39889</v>
      </c>
      <c r="H210" s="5">
        <v>19065489</v>
      </c>
      <c r="I210" s="12">
        <v>492126</v>
      </c>
      <c r="J210" s="5">
        <v>46209</v>
      </c>
      <c r="K210" s="5">
        <v>924</v>
      </c>
      <c r="L210" s="5">
        <v>139</v>
      </c>
      <c r="M210" s="12">
        <v>556417</v>
      </c>
      <c r="N210" s="14">
        <v>1.3063930781954214E-3</v>
      </c>
      <c r="O210" s="16">
        <v>2.4236986525758663E-5</v>
      </c>
      <c r="P210" s="18">
        <v>1.9996104654937351E-4</v>
      </c>
      <c r="Q210" s="16">
        <v>1.5043290043290044E-3</v>
      </c>
      <c r="R210" s="12">
        <f>IF(Marketing!$L210=0, 0, Marketing!$M210/Marketing!$L210)</f>
        <v>4003</v>
      </c>
      <c r="S210" s="12">
        <f>IF(Marketing!$J210=0,0,Marketing!$I210/Marketing!$J210)</f>
        <v>10.650003246120885</v>
      </c>
      <c r="T210" s="12">
        <f>IF(Marketing!$K210=0,0,Marketing!$I210/Marketing!$K210)</f>
        <v>532.60389610389609</v>
      </c>
      <c r="U210" s="12">
        <f>Marketing!$M210 - Marketing!$I210</f>
        <v>64291</v>
      </c>
      <c r="V210" s="12">
        <f>IF(Marketing!$L210=0,0,Marketing!$I210/Marketing!$L210)</f>
        <v>3540.4748201438847</v>
      </c>
      <c r="W210" s="5" t="str">
        <f>IF(ISNUMBER(SEARCH("tier1",Marketing!$E210)),"Tier 1","Tier 2")</f>
        <v>Tier 2</v>
      </c>
      <c r="X210" s="5" t="str">
        <f t="shared" si="3"/>
        <v>Tier 2</v>
      </c>
      <c r="Y210" s="5" t="str">
        <f>IF(WEEKDAY(Marketing!$D210,2)&lt;6,"Weekday","Weekend")</f>
        <v>Weekday</v>
      </c>
    </row>
    <row r="211" spans="1:25" x14ac:dyDescent="0.35">
      <c r="A211" s="7">
        <v>210</v>
      </c>
      <c r="B211" s="7" t="str">
        <f>TEXT(Marketing!$D211,"MMMM")</f>
        <v>February</v>
      </c>
      <c r="C211" s="7" t="str">
        <f>TEXT(Marketing!$D211,"DDDD")</f>
        <v>Saturday</v>
      </c>
      <c r="D211" s="8">
        <v>44247</v>
      </c>
      <c r="E211" s="7" t="s">
        <v>1</v>
      </c>
      <c r="F211" s="7" t="s">
        <v>2</v>
      </c>
      <c r="G211" s="7">
        <v>349043</v>
      </c>
      <c r="H211" s="7">
        <v>9916906</v>
      </c>
      <c r="I211" s="13">
        <v>56874.2</v>
      </c>
      <c r="J211" s="7">
        <v>28796</v>
      </c>
      <c r="K211" s="7">
        <v>88</v>
      </c>
      <c r="L211" s="7">
        <v>12</v>
      </c>
      <c r="M211" s="13">
        <v>59772</v>
      </c>
      <c r="N211" s="15">
        <v>5.0951046344388192E-4</v>
      </c>
      <c r="O211" s="16">
        <v>2.9037282394327422E-5</v>
      </c>
      <c r="P211" s="18">
        <v>3.0559799972218361E-5</v>
      </c>
      <c r="Q211" s="16">
        <v>1.3636363636363635E-3</v>
      </c>
      <c r="R211" s="13">
        <f>IF(Marketing!$L211=0, 0, Marketing!$M211/Marketing!$L211)</f>
        <v>4981</v>
      </c>
      <c r="S211" s="13">
        <f>IF(Marketing!$J211=0,0,Marketing!$I211/Marketing!$J211)</f>
        <v>1.9750729267953882</v>
      </c>
      <c r="T211" s="13">
        <f>IF(Marketing!$K211=0,0,Marketing!$I211/Marketing!$K211)</f>
        <v>646.29772727272723</v>
      </c>
      <c r="U211" s="13">
        <f>Marketing!$M211 - Marketing!$I211</f>
        <v>2897.8000000000029</v>
      </c>
      <c r="V211" s="13">
        <f>IF(Marketing!$L211=0,0,Marketing!$I211/Marketing!$L211)</f>
        <v>4739.5166666666664</v>
      </c>
      <c r="W211" s="7" t="str">
        <f>IF(ISNUMBER(SEARCH("tier1",Marketing!$E211)),"Tier 1","Tier 2")</f>
        <v>Tier 1</v>
      </c>
      <c r="X211" s="7" t="str">
        <f t="shared" si="3"/>
        <v>Tier 1</v>
      </c>
      <c r="Y211" s="7" t="str">
        <f>IF(WEEKDAY(Marketing!$D211,2)&lt;6,"Weekday","Weekend")</f>
        <v>Weekend</v>
      </c>
    </row>
    <row r="212" spans="1:25" x14ac:dyDescent="0.35">
      <c r="A212" s="5">
        <v>211</v>
      </c>
      <c r="B212" s="5" t="str">
        <f>TEXT(Marketing!$D212,"MMMM")</f>
        <v>February</v>
      </c>
      <c r="C212" s="5" t="str">
        <f>TEXT(Marketing!$D212,"DDDD")</f>
        <v>Saturday</v>
      </c>
      <c r="D212" s="6">
        <v>44247</v>
      </c>
      <c r="E212" s="7" t="s">
        <v>67</v>
      </c>
      <c r="F212" s="5" t="s">
        <v>2</v>
      </c>
      <c r="G212" s="5">
        <v>348934</v>
      </c>
      <c r="H212" s="5">
        <v>7918600</v>
      </c>
      <c r="I212" s="12">
        <v>455831</v>
      </c>
      <c r="J212" s="5">
        <v>39593</v>
      </c>
      <c r="K212" s="5">
        <v>853</v>
      </c>
      <c r="L212" s="5">
        <v>68</v>
      </c>
      <c r="M212" s="12">
        <v>387124</v>
      </c>
      <c r="N212" s="14">
        <v>-1.5072910793693275E-3</v>
      </c>
      <c r="O212" s="16">
        <v>5.0000000000000002E-5</v>
      </c>
      <c r="P212" s="18">
        <v>2.1544212360770845E-4</v>
      </c>
      <c r="Q212" s="16">
        <v>7.9718640093786642E-4</v>
      </c>
      <c r="R212" s="12">
        <f>IF(Marketing!$L212=0, 0, Marketing!$M212/Marketing!$L212)</f>
        <v>5693</v>
      </c>
      <c r="S212" s="12">
        <f>IF(Marketing!$J212=0,0,Marketing!$I212/Marketing!$J212)</f>
        <v>11.5129189503195</v>
      </c>
      <c r="T212" s="12">
        <f>IF(Marketing!$K212=0,0,Marketing!$I212/Marketing!$K212)</f>
        <v>534.38569753810077</v>
      </c>
      <c r="U212" s="12">
        <f>Marketing!$M212 - Marketing!$I212</f>
        <v>-68707</v>
      </c>
      <c r="V212" s="12">
        <f>IF(Marketing!$L212=0,0,Marketing!$I212/Marketing!$L212)</f>
        <v>6703.3970588235297</v>
      </c>
      <c r="W212" s="5" t="str">
        <f>IF(ISNUMBER(SEARCH("tier1",Marketing!$E212)),"Tier 1","Tier 2")</f>
        <v>Tier 2</v>
      </c>
      <c r="X212" s="5" t="str">
        <f t="shared" si="3"/>
        <v>Tier 2</v>
      </c>
      <c r="Y212" s="5" t="str">
        <f>IF(WEEKDAY(Marketing!$D212,2)&lt;6,"Weekday","Weekend")</f>
        <v>Weekend</v>
      </c>
    </row>
    <row r="213" spans="1:25" x14ac:dyDescent="0.35">
      <c r="A213" s="7">
        <v>212</v>
      </c>
      <c r="B213" s="7" t="str">
        <f>TEXT(Marketing!$D213,"MMMM")</f>
        <v>February</v>
      </c>
      <c r="C213" s="7" t="str">
        <f>TEXT(Marketing!$D213,"DDDD")</f>
        <v>Saturday</v>
      </c>
      <c r="D213" s="8">
        <v>44247</v>
      </c>
      <c r="E213" s="7" t="s">
        <v>3</v>
      </c>
      <c r="F213" s="7" t="s">
        <v>4</v>
      </c>
      <c r="G213" s="7">
        <v>89459845</v>
      </c>
      <c r="H213" s="7">
        <v>540450</v>
      </c>
      <c r="I213" s="13">
        <v>190469</v>
      </c>
      <c r="J213" s="7">
        <v>10809</v>
      </c>
      <c r="K213" s="7">
        <v>359</v>
      </c>
      <c r="L213" s="7">
        <v>47</v>
      </c>
      <c r="M213" s="13">
        <v>365378</v>
      </c>
      <c r="N213" s="15">
        <v>9.1830691608608232E-3</v>
      </c>
      <c r="O213" s="16">
        <v>2.0000000000000001E-4</v>
      </c>
      <c r="P213" s="18">
        <v>3.3213063188084E-4</v>
      </c>
      <c r="Q213" s="16">
        <v>1.3091922005571031E-3</v>
      </c>
      <c r="R213" s="13">
        <f>IF(Marketing!$L213=0, 0, Marketing!$M213/Marketing!$L213)</f>
        <v>7774</v>
      </c>
      <c r="S213" s="13">
        <f>IF(Marketing!$J213=0,0,Marketing!$I213/Marketing!$J213)</f>
        <v>17.621334073457305</v>
      </c>
      <c r="T213" s="13">
        <f>IF(Marketing!$K213=0,0,Marketing!$I213/Marketing!$K213)</f>
        <v>530.55431754874655</v>
      </c>
      <c r="U213" s="13">
        <f>Marketing!$M213 - Marketing!$I213</f>
        <v>174909</v>
      </c>
      <c r="V213" s="13">
        <f>IF(Marketing!$L213=0,0,Marketing!$I213/Marketing!$L213)</f>
        <v>4052.5319148936169</v>
      </c>
      <c r="W213" s="7" t="str">
        <f>IF(ISNUMBER(SEARCH("tier1",Marketing!$E213)),"Tier 1","Tier 2")</f>
        <v>Tier 2</v>
      </c>
      <c r="X213" s="7" t="str">
        <f t="shared" si="3"/>
        <v>Tier 2</v>
      </c>
      <c r="Y213" s="7" t="str">
        <f>IF(WEEKDAY(Marketing!$D213,2)&lt;6,"Weekday","Weekend")</f>
        <v>Weekend</v>
      </c>
    </row>
    <row r="214" spans="1:25" x14ac:dyDescent="0.35">
      <c r="A214" s="5">
        <v>213</v>
      </c>
      <c r="B214" s="5" t="str">
        <f>TEXT(Marketing!$D214,"MMMM")</f>
        <v>February</v>
      </c>
      <c r="C214" s="5" t="str">
        <f>TEXT(Marketing!$D214,"DDDD")</f>
        <v>Saturday</v>
      </c>
      <c r="D214" s="6">
        <v>44247</v>
      </c>
      <c r="E214" s="5" t="s">
        <v>5</v>
      </c>
      <c r="F214" s="5" t="s">
        <v>4</v>
      </c>
      <c r="G214" s="5">
        <v>127823</v>
      </c>
      <c r="H214" s="5">
        <v>5762000</v>
      </c>
      <c r="I214" s="12">
        <v>435770</v>
      </c>
      <c r="J214" s="5">
        <v>28810</v>
      </c>
      <c r="K214" s="5">
        <v>732</v>
      </c>
      <c r="L214" s="5">
        <v>96</v>
      </c>
      <c r="M214" s="12">
        <v>253440</v>
      </c>
      <c r="N214" s="14">
        <v>-4.1840879362966708E-3</v>
      </c>
      <c r="O214" s="16">
        <v>5.0000000000000002E-5</v>
      </c>
      <c r="P214" s="18">
        <v>2.5407844498438043E-4</v>
      </c>
      <c r="Q214" s="16">
        <v>1.3114754098360656E-3</v>
      </c>
      <c r="R214" s="12">
        <f>IF(Marketing!$L214=0, 0, Marketing!$M214/Marketing!$L214)</f>
        <v>2640</v>
      </c>
      <c r="S214" s="12">
        <f>IF(Marketing!$J214=0,0,Marketing!$I214/Marketing!$J214)</f>
        <v>15.125650815688997</v>
      </c>
      <c r="T214" s="12">
        <f>IF(Marketing!$K214=0,0,Marketing!$I214/Marketing!$K214)</f>
        <v>595.31420765027326</v>
      </c>
      <c r="U214" s="12">
        <f>Marketing!$M214 - Marketing!$I214</f>
        <v>-182330</v>
      </c>
      <c r="V214" s="12">
        <f>IF(Marketing!$L214=0,0,Marketing!$I214/Marketing!$L214)</f>
        <v>4539.270833333333</v>
      </c>
      <c r="W214" s="5" t="str">
        <f>IF(ISNUMBER(SEARCH("tier1",Marketing!$E214)),"Tier 1","Tier 2")</f>
        <v>Tier 2</v>
      </c>
      <c r="X214" s="5" t="str">
        <f t="shared" si="3"/>
        <v>Tier 2</v>
      </c>
      <c r="Y214" s="5" t="str">
        <f>IF(WEEKDAY(Marketing!$D214,2)&lt;6,"Weekday","Weekend")</f>
        <v>Weekend</v>
      </c>
    </row>
    <row r="215" spans="1:25" x14ac:dyDescent="0.35">
      <c r="A215" s="7">
        <v>214</v>
      </c>
      <c r="B215" s="7" t="str">
        <f>TEXT(Marketing!$D215,"MMMM")</f>
        <v>February</v>
      </c>
      <c r="C215" s="7" t="str">
        <f>TEXT(Marketing!$D215,"DDDD")</f>
        <v>Saturday</v>
      </c>
      <c r="D215" s="8">
        <v>44247</v>
      </c>
      <c r="E215" s="7" t="s">
        <v>6</v>
      </c>
      <c r="F215" s="7" t="s">
        <v>7</v>
      </c>
      <c r="G215" s="7">
        <v>10934</v>
      </c>
      <c r="H215" s="7">
        <v>5399300</v>
      </c>
      <c r="I215" s="13">
        <v>303860</v>
      </c>
      <c r="J215" s="7">
        <v>53993</v>
      </c>
      <c r="K215" s="7">
        <v>1094</v>
      </c>
      <c r="L215" s="7">
        <v>182</v>
      </c>
      <c r="M215" s="13">
        <v>1452540</v>
      </c>
      <c r="N215" s="15">
        <v>3.7802935562430064E-2</v>
      </c>
      <c r="O215" s="16">
        <v>1E-4</v>
      </c>
      <c r="P215" s="18">
        <v>2.0261885800011112E-4</v>
      </c>
      <c r="Q215" s="16">
        <v>1.6636197440585011E-3</v>
      </c>
      <c r="R215" s="13">
        <f>IF(Marketing!$L215=0, 0, Marketing!$M215/Marketing!$L215)</f>
        <v>7980.9890109890111</v>
      </c>
      <c r="S215" s="13">
        <f>IF(Marketing!$J215=0,0,Marketing!$I215/Marketing!$J215)</f>
        <v>5.6277665623321544</v>
      </c>
      <c r="T215" s="13">
        <f>IF(Marketing!$K215=0,0,Marketing!$I215/Marketing!$K215)</f>
        <v>277.7513711151737</v>
      </c>
      <c r="U215" s="13">
        <f>Marketing!$M215 - Marketing!$I215</f>
        <v>1148680</v>
      </c>
      <c r="V215" s="13">
        <f>IF(Marketing!$L215=0,0,Marketing!$I215/Marketing!$L215)</f>
        <v>1669.5604395604396</v>
      </c>
      <c r="W215" s="7" t="str">
        <f>IF(ISNUMBER(SEARCH("tier1",Marketing!$E215)),"Tier 1","Tier 2")</f>
        <v>Tier 2</v>
      </c>
      <c r="X215" s="7" t="str">
        <f t="shared" si="3"/>
        <v>Tier 2</v>
      </c>
      <c r="Y215" s="7" t="str">
        <f>IF(WEEKDAY(Marketing!$D215,2)&lt;6,"Weekday","Weekend")</f>
        <v>Weekend</v>
      </c>
    </row>
    <row r="216" spans="1:25" x14ac:dyDescent="0.35">
      <c r="A216" s="5">
        <v>215</v>
      </c>
      <c r="B216" s="5" t="str">
        <f>TEXT(Marketing!$D216,"MMMM")</f>
        <v>February</v>
      </c>
      <c r="C216" s="5" t="str">
        <f>TEXT(Marketing!$D216,"DDDD")</f>
        <v>Saturday</v>
      </c>
      <c r="D216" s="6">
        <v>44247</v>
      </c>
      <c r="E216" s="5" t="s">
        <v>8</v>
      </c>
      <c r="F216" s="5" t="s">
        <v>2</v>
      </c>
      <c r="G216" s="5">
        <v>9034945</v>
      </c>
      <c r="H216" s="5">
        <v>7669421</v>
      </c>
      <c r="I216" s="12">
        <v>404737</v>
      </c>
      <c r="J216" s="5">
        <v>32395</v>
      </c>
      <c r="K216" s="5">
        <v>1003</v>
      </c>
      <c r="L216" s="5">
        <v>139</v>
      </c>
      <c r="M216" s="12">
        <v>847066</v>
      </c>
      <c r="N216" s="14">
        <v>1.0928800677971126E-2</v>
      </c>
      <c r="O216" s="16">
        <v>4.2239172944085349E-5</v>
      </c>
      <c r="P216" s="18">
        <v>3.0961568143231981E-4</v>
      </c>
      <c r="Q216" s="16">
        <v>1.3858424725822533E-3</v>
      </c>
      <c r="R216" s="12">
        <f>IF(Marketing!$L216=0, 0, Marketing!$M216/Marketing!$L216)</f>
        <v>6094</v>
      </c>
      <c r="S216" s="12">
        <f>IF(Marketing!$J216=0,0,Marketing!$I216/Marketing!$J216)</f>
        <v>12.49381077326748</v>
      </c>
      <c r="T216" s="12">
        <f>IF(Marketing!$K216=0,0,Marketing!$I216/Marketing!$K216)</f>
        <v>403.52642073778662</v>
      </c>
      <c r="U216" s="12">
        <f>Marketing!$M216 - Marketing!$I216</f>
        <v>442329</v>
      </c>
      <c r="V216" s="12">
        <f>IF(Marketing!$L216=0,0,Marketing!$I216/Marketing!$L216)</f>
        <v>2911.776978417266</v>
      </c>
      <c r="W216" s="5" t="str">
        <f>IF(ISNUMBER(SEARCH("tier1",Marketing!$E216)),"Tier 1","Tier 2")</f>
        <v>Tier 1</v>
      </c>
      <c r="X216" s="5" t="str">
        <f t="shared" si="3"/>
        <v>Tier 1</v>
      </c>
      <c r="Y216" s="5" t="str">
        <f>IF(WEEKDAY(Marketing!$D216,2)&lt;6,"Weekday","Weekend")</f>
        <v>Weekend</v>
      </c>
    </row>
    <row r="217" spans="1:25" x14ac:dyDescent="0.35">
      <c r="A217" s="7">
        <v>216</v>
      </c>
      <c r="B217" s="7" t="str">
        <f>TEXT(Marketing!$D217,"MMMM")</f>
        <v>February</v>
      </c>
      <c r="C217" s="7" t="str">
        <f>TEXT(Marketing!$D217,"DDDD")</f>
        <v>Saturday</v>
      </c>
      <c r="D217" s="8">
        <v>44247</v>
      </c>
      <c r="E217" s="7" t="s">
        <v>9</v>
      </c>
      <c r="F217" s="7" t="s">
        <v>2</v>
      </c>
      <c r="G217" s="7">
        <v>983498</v>
      </c>
      <c r="H217" s="7">
        <v>12239000</v>
      </c>
      <c r="I217" s="13">
        <v>150065</v>
      </c>
      <c r="J217" s="7">
        <v>61195</v>
      </c>
      <c r="K217" s="7">
        <v>1224</v>
      </c>
      <c r="L217" s="7">
        <v>48</v>
      </c>
      <c r="M217" s="13">
        <v>73392</v>
      </c>
      <c r="N217" s="15">
        <v>-5.1093192949721788E-3</v>
      </c>
      <c r="O217" s="16">
        <v>5.0000000000000002E-5</v>
      </c>
      <c r="P217" s="18">
        <v>2.0001634120434678E-4</v>
      </c>
      <c r="Q217" s="16">
        <v>3.9215686274509802E-4</v>
      </c>
      <c r="R217" s="13">
        <f>IF(Marketing!$L217=0, 0, Marketing!$M217/Marketing!$L217)</f>
        <v>1529</v>
      </c>
      <c r="S217" s="13">
        <f>IF(Marketing!$J217=0,0,Marketing!$I217/Marketing!$J217)</f>
        <v>2.4522428302965928</v>
      </c>
      <c r="T217" s="13">
        <f>IF(Marketing!$K217=0,0,Marketing!$I217/Marketing!$K217)</f>
        <v>122.60212418300654</v>
      </c>
      <c r="U217" s="13">
        <f>Marketing!$M217 - Marketing!$I217</f>
        <v>-76673</v>
      </c>
      <c r="V217" s="13">
        <f>IF(Marketing!$L217=0,0,Marketing!$I217/Marketing!$L217)</f>
        <v>3126.3541666666665</v>
      </c>
      <c r="W217" s="7" t="str">
        <f>IF(ISNUMBER(SEARCH("tier1",Marketing!$E217)),"Tier 1","Tier 2")</f>
        <v>Tier 2</v>
      </c>
      <c r="X217" s="7" t="str">
        <f t="shared" si="3"/>
        <v>Tier 2</v>
      </c>
      <c r="Y217" s="7" t="str">
        <f>IF(WEEKDAY(Marketing!$D217,2)&lt;6,"Weekday","Weekend")</f>
        <v>Weekend</v>
      </c>
    </row>
    <row r="218" spans="1:25" x14ac:dyDescent="0.35">
      <c r="A218" s="5">
        <v>217</v>
      </c>
      <c r="B218" s="5" t="str">
        <f>TEXT(Marketing!$D218,"MMMM")</f>
        <v>February</v>
      </c>
      <c r="C218" s="5" t="str">
        <f>TEXT(Marketing!$D218,"DDDD")</f>
        <v>Saturday</v>
      </c>
      <c r="D218" s="6">
        <v>44247</v>
      </c>
      <c r="E218" s="5" t="s">
        <v>10</v>
      </c>
      <c r="F218" s="5" t="s">
        <v>2</v>
      </c>
      <c r="G218" s="5">
        <v>4387490</v>
      </c>
      <c r="H218" s="5">
        <v>111784</v>
      </c>
      <c r="I218" s="12">
        <v>73587.5</v>
      </c>
      <c r="J218" s="5">
        <v>3594</v>
      </c>
      <c r="K218" s="5">
        <v>116</v>
      </c>
      <c r="L218" s="5">
        <v>24</v>
      </c>
      <c r="M218" s="12">
        <v>119544</v>
      </c>
      <c r="N218" s="14">
        <v>6.245150331238322E-3</v>
      </c>
      <c r="O218" s="16">
        <v>3.2151291776998499E-4</v>
      </c>
      <c r="P218" s="18">
        <v>3.2276015581524765E-4</v>
      </c>
      <c r="Q218" s="16">
        <v>2.0689655172413794E-3</v>
      </c>
      <c r="R218" s="12">
        <f>IF(Marketing!$L218=0, 0, Marketing!$M218/Marketing!$L218)</f>
        <v>4981</v>
      </c>
      <c r="S218" s="12">
        <f>IF(Marketing!$J218=0,0,Marketing!$I218/Marketing!$J218)</f>
        <v>20.475097384529771</v>
      </c>
      <c r="T218" s="12">
        <f>IF(Marketing!$K218=0,0,Marketing!$I218/Marketing!$K218)</f>
        <v>634.375</v>
      </c>
      <c r="U218" s="12">
        <f>Marketing!$M218 - Marketing!$I218</f>
        <v>45956.5</v>
      </c>
      <c r="V218" s="12">
        <f>IF(Marketing!$L218=0,0,Marketing!$I218/Marketing!$L218)</f>
        <v>3066.1458333333335</v>
      </c>
      <c r="W218" s="5" t="str">
        <f>IF(ISNUMBER(SEARCH("tier1",Marketing!$E218)),"Tier 1","Tier 2")</f>
        <v>Tier 2</v>
      </c>
      <c r="X218" s="5" t="str">
        <f t="shared" si="3"/>
        <v>Tier 2</v>
      </c>
      <c r="Y218" s="5" t="str">
        <f>IF(WEEKDAY(Marketing!$D218,2)&lt;6,"Weekday","Weekend")</f>
        <v>Weekend</v>
      </c>
    </row>
    <row r="219" spans="1:25" x14ac:dyDescent="0.35">
      <c r="A219" s="7">
        <v>218</v>
      </c>
      <c r="B219" s="7" t="str">
        <f>TEXT(Marketing!$D219,"MMMM")</f>
        <v>February</v>
      </c>
      <c r="C219" s="7" t="str">
        <f>TEXT(Marketing!$D219,"DDDD")</f>
        <v>Saturday</v>
      </c>
      <c r="D219" s="8">
        <v>44247</v>
      </c>
      <c r="E219" s="7" t="s">
        <v>11</v>
      </c>
      <c r="F219" s="7" t="s">
        <v>2</v>
      </c>
      <c r="G219" s="7">
        <v>544756</v>
      </c>
      <c r="H219" s="7">
        <v>1118531</v>
      </c>
      <c r="I219" s="13">
        <v>173041</v>
      </c>
      <c r="J219" s="7">
        <v>14399</v>
      </c>
      <c r="K219" s="7">
        <v>113</v>
      </c>
      <c r="L219" s="7">
        <v>18</v>
      </c>
      <c r="M219" s="13">
        <v>17658</v>
      </c>
      <c r="N219" s="15">
        <v>-8.9795481995596418E-3</v>
      </c>
      <c r="O219" s="16">
        <v>1.2873134495154805E-4</v>
      </c>
      <c r="P219" s="18">
        <v>7.8477672060559765E-5</v>
      </c>
      <c r="Q219" s="16">
        <v>1.5929203539823008E-3</v>
      </c>
      <c r="R219" s="13">
        <f>IF(Marketing!$L219=0, 0, Marketing!$M219/Marketing!$L219)</f>
        <v>981</v>
      </c>
      <c r="S219" s="13">
        <f>IF(Marketing!$J219=0,0,Marketing!$I219/Marketing!$J219)</f>
        <v>12.017570664629488</v>
      </c>
      <c r="T219" s="13">
        <f>IF(Marketing!$K219=0,0,Marketing!$I219/Marketing!$K219)</f>
        <v>1531.3362831858408</v>
      </c>
      <c r="U219" s="13">
        <f>Marketing!$M219 - Marketing!$I219</f>
        <v>-155383</v>
      </c>
      <c r="V219" s="13">
        <f>IF(Marketing!$L219=0,0,Marketing!$I219/Marketing!$L219)</f>
        <v>9613.3888888888887</v>
      </c>
      <c r="W219" s="7" t="str">
        <f>IF(ISNUMBER(SEARCH("tier1",Marketing!$E219)),"Tier 1","Tier 2")</f>
        <v>Tier 2</v>
      </c>
      <c r="X219" s="7" t="str">
        <f t="shared" si="3"/>
        <v>Tier 2</v>
      </c>
      <c r="Y219" s="7" t="str">
        <f>IF(WEEKDAY(Marketing!$D219,2)&lt;6,"Weekday","Weekend")</f>
        <v>Weekend</v>
      </c>
    </row>
    <row r="220" spans="1:25" x14ac:dyDescent="0.35">
      <c r="A220" s="5">
        <v>219</v>
      </c>
      <c r="B220" s="5" t="str">
        <f>TEXT(Marketing!$D220,"MMMM")</f>
        <v>February</v>
      </c>
      <c r="C220" s="5" t="str">
        <f>TEXT(Marketing!$D220,"DDDD")</f>
        <v>Saturday</v>
      </c>
      <c r="D220" s="6">
        <v>44247</v>
      </c>
      <c r="E220" s="5" t="s">
        <v>12</v>
      </c>
      <c r="F220" s="5" t="s">
        <v>7</v>
      </c>
      <c r="G220" s="5">
        <v>374754</v>
      </c>
      <c r="H220" s="5">
        <v>5497354</v>
      </c>
      <c r="I220" s="12">
        <v>504576</v>
      </c>
      <c r="J220" s="5">
        <v>35994</v>
      </c>
      <c r="K220" s="5">
        <v>822</v>
      </c>
      <c r="L220" s="5">
        <v>137</v>
      </c>
      <c r="M220" s="12">
        <v>682397</v>
      </c>
      <c r="N220" s="14">
        <v>3.5241668252156268E-3</v>
      </c>
      <c r="O220" s="16">
        <v>6.5475135856268298E-5</v>
      </c>
      <c r="P220" s="18">
        <v>2.2837139523253878E-4</v>
      </c>
      <c r="Q220" s="16">
        <v>1.6666666666666666E-3</v>
      </c>
      <c r="R220" s="12">
        <f>IF(Marketing!$L220=0, 0, Marketing!$M220/Marketing!$L220)</f>
        <v>4981</v>
      </c>
      <c r="S220" s="12">
        <f>IF(Marketing!$J220=0,0,Marketing!$I220/Marketing!$J220)</f>
        <v>14.018336389398232</v>
      </c>
      <c r="T220" s="12">
        <f>IF(Marketing!$K220=0,0,Marketing!$I220/Marketing!$K220)</f>
        <v>613.83941605839414</v>
      </c>
      <c r="U220" s="12">
        <f>Marketing!$M220 - Marketing!$I220</f>
        <v>177821</v>
      </c>
      <c r="V220" s="12">
        <f>IF(Marketing!$L220=0,0,Marketing!$I220/Marketing!$L220)</f>
        <v>3683.0364963503648</v>
      </c>
      <c r="W220" s="5" t="str">
        <f>IF(ISNUMBER(SEARCH("tier1",Marketing!$E220)),"Tier 1","Tier 2")</f>
        <v>Tier 2</v>
      </c>
      <c r="X220" s="5" t="str">
        <f t="shared" si="3"/>
        <v>Tier 2</v>
      </c>
      <c r="Y220" s="5" t="str">
        <f>IF(WEEKDAY(Marketing!$D220,2)&lt;6,"Weekday","Weekend")</f>
        <v>Weekend</v>
      </c>
    </row>
    <row r="221" spans="1:25" x14ac:dyDescent="0.35">
      <c r="A221" s="7">
        <v>220</v>
      </c>
      <c r="B221" s="7" t="str">
        <f>TEXT(Marketing!$D221,"MMMM")</f>
        <v>February</v>
      </c>
      <c r="C221" s="7" t="str">
        <f>TEXT(Marketing!$D221,"DDDD")</f>
        <v>Saturday</v>
      </c>
      <c r="D221" s="8">
        <v>44247</v>
      </c>
      <c r="E221" s="7" t="s">
        <v>13</v>
      </c>
      <c r="F221" s="7" t="s">
        <v>14</v>
      </c>
      <c r="G221" s="7">
        <v>39889</v>
      </c>
      <c r="H221" s="7">
        <v>26012342</v>
      </c>
      <c r="I221" s="13">
        <v>750361</v>
      </c>
      <c r="J221" s="7">
        <v>50408</v>
      </c>
      <c r="K221" s="7">
        <v>1678</v>
      </c>
      <c r="L221" s="7">
        <v>252</v>
      </c>
      <c r="M221" s="13">
        <v>1003210</v>
      </c>
      <c r="N221" s="15">
        <v>3.3696980520043019E-3</v>
      </c>
      <c r="O221" s="16">
        <v>1.9378493485899886E-5</v>
      </c>
      <c r="P221" s="18">
        <v>3.3288366925884779E-4</v>
      </c>
      <c r="Q221" s="16">
        <v>1.501787842669845E-3</v>
      </c>
      <c r="R221" s="13">
        <f>IF(Marketing!$L221=0, 0, Marketing!$M221/Marketing!$L221)</f>
        <v>3980.9920634920636</v>
      </c>
      <c r="S221" s="13">
        <f>IF(Marketing!$J221=0,0,Marketing!$I221/Marketing!$J221)</f>
        <v>14.885752261545786</v>
      </c>
      <c r="T221" s="13">
        <f>IF(Marketing!$K221=0,0,Marketing!$I221/Marketing!$K221)</f>
        <v>447.17580452920146</v>
      </c>
      <c r="U221" s="13">
        <f>Marketing!$M221 - Marketing!$I221</f>
        <v>252849</v>
      </c>
      <c r="V221" s="13">
        <f>IF(Marketing!$L221=0,0,Marketing!$I221/Marketing!$L221)</f>
        <v>2977.6230158730159</v>
      </c>
      <c r="W221" s="7" t="str">
        <f>IF(ISNUMBER(SEARCH("tier1",Marketing!$E221)),"Tier 1","Tier 2")</f>
        <v>Tier 2</v>
      </c>
      <c r="X221" s="7" t="str">
        <f t="shared" si="3"/>
        <v>Tier 2</v>
      </c>
      <c r="Y221" s="7" t="str">
        <f>IF(WEEKDAY(Marketing!$D221,2)&lt;6,"Weekday","Weekend")</f>
        <v>Weekend</v>
      </c>
    </row>
    <row r="222" spans="1:25" x14ac:dyDescent="0.35">
      <c r="A222" s="5">
        <v>221</v>
      </c>
      <c r="B222" s="5" t="str">
        <f>TEXT(Marketing!$D222,"MMMM")</f>
        <v>February</v>
      </c>
      <c r="C222" s="5" t="str">
        <f>TEXT(Marketing!$D222,"DDDD")</f>
        <v>Sunday</v>
      </c>
      <c r="D222" s="6">
        <v>44248</v>
      </c>
      <c r="E222" s="5" t="s">
        <v>1</v>
      </c>
      <c r="F222" s="5" t="s">
        <v>2</v>
      </c>
      <c r="G222" s="5">
        <v>349043</v>
      </c>
      <c r="H222" s="5">
        <v>478600</v>
      </c>
      <c r="I222" s="12">
        <v>38596.699999999997</v>
      </c>
      <c r="J222" s="5">
        <v>2393</v>
      </c>
      <c r="K222" s="5">
        <v>66</v>
      </c>
      <c r="L222" s="5">
        <v>7</v>
      </c>
      <c r="M222" s="12">
        <v>31094</v>
      </c>
      <c r="N222" s="14">
        <v>-1.9438708490622249E-3</v>
      </c>
      <c r="O222" s="16">
        <v>5.0000000000000002E-5</v>
      </c>
      <c r="P222" s="18">
        <v>2.7580442958629334E-4</v>
      </c>
      <c r="Q222" s="16">
        <v>1.0606060606060607E-3</v>
      </c>
      <c r="R222" s="12">
        <f>IF(Marketing!$L222=0, 0, Marketing!$M222/Marketing!$L222)</f>
        <v>4442</v>
      </c>
      <c r="S222" s="12">
        <f>IF(Marketing!$J222=0,0,Marketing!$I222/Marketing!$J222)</f>
        <v>16.129001253656497</v>
      </c>
      <c r="T222" s="12">
        <f>IF(Marketing!$K222=0,0,Marketing!$I222/Marketing!$K222)</f>
        <v>584.7984848484848</v>
      </c>
      <c r="U222" s="12">
        <f>Marketing!$M222 - Marketing!$I222</f>
        <v>-7502.6999999999971</v>
      </c>
      <c r="V222" s="12">
        <f>IF(Marketing!$L222=0,0,Marketing!$I222/Marketing!$L222)</f>
        <v>5513.8142857142857</v>
      </c>
      <c r="W222" s="5" t="str">
        <f>IF(ISNUMBER(SEARCH("tier1",Marketing!$E222)),"Tier 1","Tier 2")</f>
        <v>Tier 1</v>
      </c>
      <c r="X222" s="5" t="str">
        <f t="shared" si="3"/>
        <v>Tier 1</v>
      </c>
      <c r="Y222" s="5" t="str">
        <f>IF(WEEKDAY(Marketing!$D222,2)&lt;6,"Weekday","Weekend")</f>
        <v>Weekend</v>
      </c>
    </row>
    <row r="223" spans="1:25" x14ac:dyDescent="0.35">
      <c r="A223" s="7">
        <v>222</v>
      </c>
      <c r="B223" s="7" t="str">
        <f>TEXT(Marketing!$D223,"MMMM")</f>
        <v>February</v>
      </c>
      <c r="C223" s="7" t="str">
        <f>TEXT(Marketing!$D223,"DDDD")</f>
        <v>Sunday</v>
      </c>
      <c r="D223" s="8">
        <v>44248</v>
      </c>
      <c r="E223" s="7" t="s">
        <v>67</v>
      </c>
      <c r="F223" s="7" t="s">
        <v>2</v>
      </c>
      <c r="G223" s="7">
        <v>348934</v>
      </c>
      <c r="H223" s="7">
        <v>543787</v>
      </c>
      <c r="I223" s="13">
        <v>39481</v>
      </c>
      <c r="J223" s="7">
        <v>3299</v>
      </c>
      <c r="K223" s="7">
        <v>113</v>
      </c>
      <c r="L223" s="7">
        <v>6</v>
      </c>
      <c r="M223" s="13">
        <v>29538</v>
      </c>
      <c r="N223" s="15">
        <v>-2.5184265849395909E-3</v>
      </c>
      <c r="O223" s="16">
        <v>6.0667136213259971E-5</v>
      </c>
      <c r="P223" s="18">
        <v>3.4252803879963629E-4</v>
      </c>
      <c r="Q223" s="16">
        <v>5.3097345132743366E-4</v>
      </c>
      <c r="R223" s="13">
        <f>IF(Marketing!$L223=0, 0, Marketing!$M223/Marketing!$L223)</f>
        <v>4923</v>
      </c>
      <c r="S223" s="13">
        <f>IF(Marketing!$J223=0,0,Marketing!$I223/Marketing!$J223)</f>
        <v>11.967565929069416</v>
      </c>
      <c r="T223" s="13">
        <f>IF(Marketing!$K223=0,0,Marketing!$I223/Marketing!$K223)</f>
        <v>349.38938053097343</v>
      </c>
      <c r="U223" s="13">
        <f>Marketing!$M223 - Marketing!$I223</f>
        <v>-9943</v>
      </c>
      <c r="V223" s="13">
        <f>IF(Marketing!$L223=0,0,Marketing!$I223/Marketing!$L223)</f>
        <v>6580.166666666667</v>
      </c>
      <c r="W223" s="7" t="str">
        <f>IF(ISNUMBER(SEARCH("tier1",Marketing!$E223)),"Tier 1","Tier 2")</f>
        <v>Tier 2</v>
      </c>
      <c r="X223" s="7" t="str">
        <f t="shared" si="3"/>
        <v>Tier 2</v>
      </c>
      <c r="Y223" s="7" t="str">
        <f>IF(WEEKDAY(Marketing!$D223,2)&lt;6,"Weekday","Weekend")</f>
        <v>Weekend</v>
      </c>
    </row>
    <row r="224" spans="1:25" x14ac:dyDescent="0.35">
      <c r="A224" s="5">
        <v>223</v>
      </c>
      <c r="B224" s="5" t="str">
        <f>TEXT(Marketing!$D224,"MMMM")</f>
        <v>February</v>
      </c>
      <c r="C224" s="5" t="str">
        <f>TEXT(Marketing!$D224,"DDDD")</f>
        <v>Sunday</v>
      </c>
      <c r="D224" s="6">
        <v>44248</v>
      </c>
      <c r="E224" s="5" t="s">
        <v>3</v>
      </c>
      <c r="F224" s="5" t="s">
        <v>4</v>
      </c>
      <c r="G224" s="5">
        <v>89459845</v>
      </c>
      <c r="H224" s="5">
        <v>49655</v>
      </c>
      <c r="I224" s="12">
        <v>9444.1200000000008</v>
      </c>
      <c r="J224" s="5">
        <v>907</v>
      </c>
      <c r="K224" s="5">
        <v>18</v>
      </c>
      <c r="L224" s="5">
        <v>2</v>
      </c>
      <c r="M224" s="12">
        <v>15962</v>
      </c>
      <c r="N224" s="14">
        <v>6.9015217934545502E-3</v>
      </c>
      <c r="O224" s="16">
        <v>1.8266035645957102E-4</v>
      </c>
      <c r="P224" s="18">
        <v>1.9845644983461963E-4</v>
      </c>
      <c r="Q224" s="16">
        <v>1.1111111111111111E-3</v>
      </c>
      <c r="R224" s="12">
        <f>IF(Marketing!$L224=0, 0, Marketing!$M224/Marketing!$L224)</f>
        <v>7981</v>
      </c>
      <c r="S224" s="12">
        <f>IF(Marketing!$J224=0,0,Marketing!$I224/Marketing!$J224)</f>
        <v>10.412480705622933</v>
      </c>
      <c r="T224" s="12">
        <f>IF(Marketing!$K224=0,0,Marketing!$I224/Marketing!$K224)</f>
        <v>524.6733333333334</v>
      </c>
      <c r="U224" s="12">
        <f>Marketing!$M224 - Marketing!$I224</f>
        <v>6517.8799999999992</v>
      </c>
      <c r="V224" s="12">
        <f>IF(Marketing!$L224=0,0,Marketing!$I224/Marketing!$L224)</f>
        <v>4722.0600000000004</v>
      </c>
      <c r="W224" s="5" t="str">
        <f>IF(ISNUMBER(SEARCH("tier1",Marketing!$E224)),"Tier 1","Tier 2")</f>
        <v>Tier 2</v>
      </c>
      <c r="X224" s="5" t="str">
        <f t="shared" si="3"/>
        <v>Tier 2</v>
      </c>
      <c r="Y224" s="5" t="str">
        <f>IF(WEEKDAY(Marketing!$D224,2)&lt;6,"Weekday","Weekend")</f>
        <v>Weekend</v>
      </c>
    </row>
    <row r="225" spans="1:25" x14ac:dyDescent="0.35">
      <c r="A225" s="7">
        <v>224</v>
      </c>
      <c r="B225" s="7" t="str">
        <f>TEXT(Marketing!$D225,"MMMM")</f>
        <v>February</v>
      </c>
      <c r="C225" s="7" t="str">
        <f>TEXT(Marketing!$D225,"DDDD")</f>
        <v>Sunday</v>
      </c>
      <c r="D225" s="8">
        <v>44248</v>
      </c>
      <c r="E225" s="7" t="s">
        <v>5</v>
      </c>
      <c r="F225" s="7" t="s">
        <v>4</v>
      </c>
      <c r="G225" s="7">
        <v>127823</v>
      </c>
      <c r="H225" s="7">
        <v>478400</v>
      </c>
      <c r="I225" s="13">
        <v>17476.2</v>
      </c>
      <c r="J225" s="7">
        <v>2392</v>
      </c>
      <c r="K225" s="7">
        <v>48</v>
      </c>
      <c r="L225" s="7">
        <v>5</v>
      </c>
      <c r="M225" s="13">
        <v>12910</v>
      </c>
      <c r="N225" s="15">
        <v>-2.6128105652258506E-3</v>
      </c>
      <c r="O225" s="16">
        <v>5.0000000000000002E-5</v>
      </c>
      <c r="P225" s="18">
        <v>2.0066889632107025E-4</v>
      </c>
      <c r="Q225" s="16">
        <v>1.0416666666666667E-3</v>
      </c>
      <c r="R225" s="13">
        <f>IF(Marketing!$L225=0, 0, Marketing!$M225/Marketing!$L225)</f>
        <v>2582</v>
      </c>
      <c r="S225" s="13">
        <f>IF(Marketing!$J225=0,0,Marketing!$I225/Marketing!$J225)</f>
        <v>7.306103678929766</v>
      </c>
      <c r="T225" s="13">
        <f>IF(Marketing!$K225=0,0,Marketing!$I225/Marketing!$K225)</f>
        <v>364.08750000000003</v>
      </c>
      <c r="U225" s="13">
        <f>Marketing!$M225 - Marketing!$I225</f>
        <v>-4566.2000000000007</v>
      </c>
      <c r="V225" s="13">
        <f>IF(Marketing!$L225=0,0,Marketing!$I225/Marketing!$L225)</f>
        <v>3495.2400000000002</v>
      </c>
      <c r="W225" s="7" t="str">
        <f>IF(ISNUMBER(SEARCH("tier1",Marketing!$E225)),"Tier 1","Tier 2")</f>
        <v>Tier 2</v>
      </c>
      <c r="X225" s="7" t="str">
        <f t="shared" si="3"/>
        <v>Tier 2</v>
      </c>
      <c r="Y225" s="7" t="str">
        <f>IF(WEEKDAY(Marketing!$D225,2)&lt;6,"Weekday","Weekend")</f>
        <v>Weekend</v>
      </c>
    </row>
    <row r="226" spans="1:25" x14ac:dyDescent="0.35">
      <c r="A226" s="5">
        <v>225</v>
      </c>
      <c r="B226" s="5" t="str">
        <f>TEXT(Marketing!$D226,"MMMM")</f>
        <v>February</v>
      </c>
      <c r="C226" s="5" t="str">
        <f>TEXT(Marketing!$D226,"DDDD")</f>
        <v>Sunday</v>
      </c>
      <c r="D226" s="6">
        <v>44248</v>
      </c>
      <c r="E226" s="5" t="s">
        <v>6</v>
      </c>
      <c r="F226" s="5" t="s">
        <v>7</v>
      </c>
      <c r="G226" s="5">
        <v>10934</v>
      </c>
      <c r="H226" s="5">
        <v>713896</v>
      </c>
      <c r="I226" s="12">
        <v>30801</v>
      </c>
      <c r="J226" s="5">
        <v>4507</v>
      </c>
      <c r="K226" s="5">
        <v>90</v>
      </c>
      <c r="L226" s="5">
        <v>20</v>
      </c>
      <c r="M226" s="12">
        <v>159620</v>
      </c>
      <c r="N226" s="14">
        <v>4.1822992759975329E-2</v>
      </c>
      <c r="O226" s="16">
        <v>6.3132445062025839E-5</v>
      </c>
      <c r="P226" s="18">
        <v>1.9968937208786331E-4</v>
      </c>
      <c r="Q226" s="16">
        <v>2.2222222222222222E-3</v>
      </c>
      <c r="R226" s="12">
        <f>IF(Marketing!$L226=0, 0, Marketing!$M226/Marketing!$L226)</f>
        <v>7981</v>
      </c>
      <c r="S226" s="12">
        <f>IF(Marketing!$J226=0,0,Marketing!$I226/Marketing!$J226)</f>
        <v>6.8340359440869758</v>
      </c>
      <c r="T226" s="12">
        <f>IF(Marketing!$K226=0,0,Marketing!$I226/Marketing!$K226)</f>
        <v>342.23333333333335</v>
      </c>
      <c r="U226" s="12">
        <f>Marketing!$M226 - Marketing!$I226</f>
        <v>128819</v>
      </c>
      <c r="V226" s="12">
        <f>IF(Marketing!$L226=0,0,Marketing!$I226/Marketing!$L226)</f>
        <v>1540.05</v>
      </c>
      <c r="W226" s="5" t="str">
        <f>IF(ISNUMBER(SEARCH("tier1",Marketing!$E226)),"Tier 1","Tier 2")</f>
        <v>Tier 2</v>
      </c>
      <c r="X226" s="5" t="str">
        <f t="shared" si="3"/>
        <v>Tier 2</v>
      </c>
      <c r="Y226" s="5" t="str">
        <f>IF(WEEKDAY(Marketing!$D226,2)&lt;6,"Weekday","Weekend")</f>
        <v>Weekend</v>
      </c>
    </row>
    <row r="227" spans="1:25" x14ac:dyDescent="0.35">
      <c r="A227" s="7">
        <v>226</v>
      </c>
      <c r="B227" s="7" t="str">
        <f>TEXT(Marketing!$D227,"MMMM")</f>
        <v>February</v>
      </c>
      <c r="C227" s="7" t="str">
        <f>TEXT(Marketing!$D227,"DDDD")</f>
        <v>Sunday</v>
      </c>
      <c r="D227" s="8">
        <v>44248</v>
      </c>
      <c r="E227" s="7" t="s">
        <v>8</v>
      </c>
      <c r="F227" s="7" t="s">
        <v>2</v>
      </c>
      <c r="G227" s="7">
        <v>9034945</v>
      </c>
      <c r="H227" s="7">
        <v>555915</v>
      </c>
      <c r="I227" s="13">
        <v>29457.5</v>
      </c>
      <c r="J227" s="7">
        <v>2709</v>
      </c>
      <c r="K227" s="7">
        <v>60</v>
      </c>
      <c r="L227" s="7">
        <v>10</v>
      </c>
      <c r="M227" s="13">
        <v>55540</v>
      </c>
      <c r="N227" s="15">
        <v>8.8542815921242475E-3</v>
      </c>
      <c r="O227" s="16">
        <v>4.8730471385013891E-5</v>
      </c>
      <c r="P227" s="18">
        <v>2.2148394241417498E-4</v>
      </c>
      <c r="Q227" s="16">
        <v>1.6666666666666666E-3</v>
      </c>
      <c r="R227" s="13">
        <f>IF(Marketing!$L227=0, 0, Marketing!$M227/Marketing!$L227)</f>
        <v>5554</v>
      </c>
      <c r="S227" s="13">
        <f>IF(Marketing!$J227=0,0,Marketing!$I227/Marketing!$J227)</f>
        <v>10.873938722775932</v>
      </c>
      <c r="T227" s="13">
        <f>IF(Marketing!$K227=0,0,Marketing!$I227/Marketing!$K227)</f>
        <v>490.95833333333331</v>
      </c>
      <c r="U227" s="13">
        <f>Marketing!$M227 - Marketing!$I227</f>
        <v>26082.5</v>
      </c>
      <c r="V227" s="13">
        <f>IF(Marketing!$L227=0,0,Marketing!$I227/Marketing!$L227)</f>
        <v>2945.75</v>
      </c>
      <c r="W227" s="7" t="str">
        <f>IF(ISNUMBER(SEARCH("tier1",Marketing!$E227)),"Tier 1","Tier 2")</f>
        <v>Tier 1</v>
      </c>
      <c r="X227" s="7" t="str">
        <f t="shared" si="3"/>
        <v>Tier 1</v>
      </c>
      <c r="Y227" s="7" t="str">
        <f>IF(WEEKDAY(Marketing!$D227,2)&lt;6,"Weekday","Weekend")</f>
        <v>Weekend</v>
      </c>
    </row>
    <row r="228" spans="1:25" x14ac:dyDescent="0.35">
      <c r="A228" s="5">
        <v>227</v>
      </c>
      <c r="B228" s="5" t="str">
        <f>TEXT(Marketing!$D228,"MMMM")</f>
        <v>February</v>
      </c>
      <c r="C228" s="5" t="str">
        <f>TEXT(Marketing!$D228,"DDDD")</f>
        <v>Sunday</v>
      </c>
      <c r="D228" s="6">
        <v>44248</v>
      </c>
      <c r="E228" s="5" t="s">
        <v>9</v>
      </c>
      <c r="F228" s="5" t="s">
        <v>2</v>
      </c>
      <c r="G228" s="5">
        <v>983498</v>
      </c>
      <c r="H228" s="5">
        <v>781353</v>
      </c>
      <c r="I228" s="12">
        <v>12503.5</v>
      </c>
      <c r="J228" s="5">
        <v>5104</v>
      </c>
      <c r="K228" s="5">
        <v>102</v>
      </c>
      <c r="L228" s="5">
        <v>4</v>
      </c>
      <c r="M228" s="12">
        <v>7924</v>
      </c>
      <c r="N228" s="14">
        <v>-3.6625744791458394E-3</v>
      </c>
      <c r="O228" s="16">
        <v>6.5322587870015223E-5</v>
      </c>
      <c r="P228" s="18">
        <v>1.9984326018808777E-4</v>
      </c>
      <c r="Q228" s="16">
        <v>3.9215686274509802E-4</v>
      </c>
      <c r="R228" s="12">
        <f>IF(Marketing!$L228=0, 0, Marketing!$M228/Marketing!$L228)</f>
        <v>1981</v>
      </c>
      <c r="S228" s="12">
        <f>IF(Marketing!$J228=0,0,Marketing!$I228/Marketing!$J228)</f>
        <v>2.4497452978056424</v>
      </c>
      <c r="T228" s="12">
        <f>IF(Marketing!$K228=0,0,Marketing!$I228/Marketing!$K228)</f>
        <v>122.58333333333333</v>
      </c>
      <c r="U228" s="12">
        <f>Marketing!$M228 - Marketing!$I228</f>
        <v>-4579.5</v>
      </c>
      <c r="V228" s="12">
        <f>IF(Marketing!$L228=0,0,Marketing!$I228/Marketing!$L228)</f>
        <v>3125.875</v>
      </c>
      <c r="W228" s="5" t="str">
        <f>IF(ISNUMBER(SEARCH("tier1",Marketing!$E228)),"Tier 1","Tier 2")</f>
        <v>Tier 2</v>
      </c>
      <c r="X228" s="5" t="str">
        <f t="shared" si="3"/>
        <v>Tier 2</v>
      </c>
      <c r="Y228" s="5" t="str">
        <f>IF(WEEKDAY(Marketing!$D228,2)&lt;6,"Weekday","Weekend")</f>
        <v>Weekend</v>
      </c>
    </row>
    <row r="229" spans="1:25" x14ac:dyDescent="0.35">
      <c r="A229" s="7">
        <v>228</v>
      </c>
      <c r="B229" s="7" t="str">
        <f>TEXT(Marketing!$D229,"MMMM")</f>
        <v>February</v>
      </c>
      <c r="C229" s="7" t="str">
        <f>TEXT(Marketing!$D229,"DDDD")</f>
        <v>Sunday</v>
      </c>
      <c r="D229" s="8">
        <v>44248</v>
      </c>
      <c r="E229" s="7" t="s">
        <v>10</v>
      </c>
      <c r="F229" s="7" t="s">
        <v>2</v>
      </c>
      <c r="G229" s="7">
        <v>4387490</v>
      </c>
      <c r="H229" s="7">
        <v>10812</v>
      </c>
      <c r="I229" s="13">
        <v>1555.96</v>
      </c>
      <c r="J229" s="7">
        <v>296</v>
      </c>
      <c r="K229" s="7">
        <v>3</v>
      </c>
      <c r="L229" s="7">
        <v>1</v>
      </c>
      <c r="M229" s="13">
        <v>3993</v>
      </c>
      <c r="N229" s="15">
        <v>1.5662613434792666E-2</v>
      </c>
      <c r="O229" s="16">
        <v>2.7376988531261563E-4</v>
      </c>
      <c r="P229" s="18">
        <v>1.0135135135135136E-4</v>
      </c>
      <c r="Q229" s="16">
        <v>3.3333333333333331E-3</v>
      </c>
      <c r="R229" s="13">
        <f>IF(Marketing!$L229=0, 0, Marketing!$M229/Marketing!$L229)</f>
        <v>3993</v>
      </c>
      <c r="S229" s="13">
        <f>IF(Marketing!$J229=0,0,Marketing!$I229/Marketing!$J229)</f>
        <v>5.2566216216216217</v>
      </c>
      <c r="T229" s="13">
        <f>IF(Marketing!$K229=0,0,Marketing!$I229/Marketing!$K229)</f>
        <v>518.65333333333331</v>
      </c>
      <c r="U229" s="13">
        <f>Marketing!$M229 - Marketing!$I229</f>
        <v>2437.04</v>
      </c>
      <c r="V229" s="13">
        <f>IF(Marketing!$L229=0,0,Marketing!$I229/Marketing!$L229)</f>
        <v>1555.96</v>
      </c>
      <c r="W229" s="7" t="str">
        <f>IF(ISNUMBER(SEARCH("tier1",Marketing!$E229)),"Tier 1","Tier 2")</f>
        <v>Tier 2</v>
      </c>
      <c r="X229" s="7" t="str">
        <f t="shared" si="3"/>
        <v>Tier 2</v>
      </c>
      <c r="Y229" s="7" t="str">
        <f>IF(WEEKDAY(Marketing!$D229,2)&lt;6,"Weekday","Weekend")</f>
        <v>Weekend</v>
      </c>
    </row>
    <row r="230" spans="1:25" x14ac:dyDescent="0.35">
      <c r="A230" s="5">
        <v>229</v>
      </c>
      <c r="B230" s="5" t="str">
        <f>TEXT(Marketing!$D230,"MMMM")</f>
        <v>February</v>
      </c>
      <c r="C230" s="5" t="str">
        <f>TEXT(Marketing!$D230,"DDDD")</f>
        <v>Sunday</v>
      </c>
      <c r="D230" s="6">
        <v>44248</v>
      </c>
      <c r="E230" s="5" t="s">
        <v>11</v>
      </c>
      <c r="F230" s="5" t="s">
        <v>2</v>
      </c>
      <c r="G230" s="5">
        <v>544756</v>
      </c>
      <c r="H230" s="5">
        <v>119400</v>
      </c>
      <c r="I230" s="12">
        <v>32169.9</v>
      </c>
      <c r="J230" s="5">
        <v>1194</v>
      </c>
      <c r="K230" s="5">
        <v>24</v>
      </c>
      <c r="L230" s="5">
        <v>4</v>
      </c>
      <c r="M230" s="12">
        <v>3924</v>
      </c>
      <c r="N230" s="14">
        <v>-8.7802262363265039E-3</v>
      </c>
      <c r="O230" s="16">
        <v>1E-4</v>
      </c>
      <c r="P230" s="18">
        <v>2.0100502512562814E-4</v>
      </c>
      <c r="Q230" s="16">
        <v>1.6666666666666666E-3</v>
      </c>
      <c r="R230" s="12">
        <f>IF(Marketing!$L230=0, 0, Marketing!$M230/Marketing!$L230)</f>
        <v>981</v>
      </c>
      <c r="S230" s="12">
        <f>IF(Marketing!$J230=0,0,Marketing!$I230/Marketing!$J230)</f>
        <v>26.942964824120605</v>
      </c>
      <c r="T230" s="12">
        <f>IF(Marketing!$K230=0,0,Marketing!$I230/Marketing!$K230)</f>
        <v>1340.4125000000001</v>
      </c>
      <c r="U230" s="12">
        <f>Marketing!$M230 - Marketing!$I230</f>
        <v>-28245.9</v>
      </c>
      <c r="V230" s="12">
        <f>IF(Marketing!$L230=0,0,Marketing!$I230/Marketing!$L230)</f>
        <v>8042.4750000000004</v>
      </c>
      <c r="W230" s="5" t="str">
        <f>IF(ISNUMBER(SEARCH("tier1",Marketing!$E230)),"Tier 1","Tier 2")</f>
        <v>Tier 2</v>
      </c>
      <c r="X230" s="5" t="str">
        <f t="shared" si="3"/>
        <v>Tier 2</v>
      </c>
      <c r="Y230" s="5" t="str">
        <f>IF(WEEKDAY(Marketing!$D230,2)&lt;6,"Weekday","Weekend")</f>
        <v>Weekend</v>
      </c>
    </row>
    <row r="231" spans="1:25" x14ac:dyDescent="0.35">
      <c r="A231" s="7">
        <v>230</v>
      </c>
      <c r="B231" s="7" t="str">
        <f>TEXT(Marketing!$D231,"MMMM")</f>
        <v>February</v>
      </c>
      <c r="C231" s="7" t="str">
        <f>TEXT(Marketing!$D231,"DDDD")</f>
        <v>Sunday</v>
      </c>
      <c r="D231" s="8">
        <v>44248</v>
      </c>
      <c r="E231" s="7" t="s">
        <v>12</v>
      </c>
      <c r="F231" s="7" t="s">
        <v>7</v>
      </c>
      <c r="G231" s="7">
        <v>374754</v>
      </c>
      <c r="H231" s="7">
        <v>300900</v>
      </c>
      <c r="I231" s="13">
        <v>65006.3</v>
      </c>
      <c r="J231" s="7">
        <v>3009</v>
      </c>
      <c r="K231" s="7">
        <v>89</v>
      </c>
      <c r="L231" s="7">
        <v>17</v>
      </c>
      <c r="M231" s="13">
        <v>84677</v>
      </c>
      <c r="N231" s="15">
        <v>3.0259682523078525E-3</v>
      </c>
      <c r="O231" s="16">
        <v>1E-4</v>
      </c>
      <c r="P231" s="18">
        <v>2.9577932868062479E-4</v>
      </c>
      <c r="Q231" s="16">
        <v>1.9101123595505617E-3</v>
      </c>
      <c r="R231" s="13">
        <f>IF(Marketing!$L231=0, 0, Marketing!$M231/Marketing!$L231)</f>
        <v>4981</v>
      </c>
      <c r="S231" s="13">
        <f>IF(Marketing!$J231=0,0,Marketing!$I231/Marketing!$J231)</f>
        <v>21.603954802259889</v>
      </c>
      <c r="T231" s="13">
        <f>IF(Marketing!$K231=0,0,Marketing!$I231/Marketing!$K231)</f>
        <v>730.40786516853939</v>
      </c>
      <c r="U231" s="13">
        <f>Marketing!$M231 - Marketing!$I231</f>
        <v>19670.699999999997</v>
      </c>
      <c r="V231" s="13">
        <f>IF(Marketing!$L231=0,0,Marketing!$I231/Marketing!$L231)</f>
        <v>3823.9</v>
      </c>
      <c r="W231" s="7" t="str">
        <f>IF(ISNUMBER(SEARCH("tier1",Marketing!$E231)),"Tier 1","Tier 2")</f>
        <v>Tier 2</v>
      </c>
      <c r="X231" s="7" t="str">
        <f t="shared" si="3"/>
        <v>Tier 2</v>
      </c>
      <c r="Y231" s="7" t="str">
        <f>IF(WEEKDAY(Marketing!$D231,2)&lt;6,"Weekday","Weekend")</f>
        <v>Weekend</v>
      </c>
    </row>
    <row r="232" spans="1:25" x14ac:dyDescent="0.35">
      <c r="A232" s="5">
        <v>231</v>
      </c>
      <c r="B232" s="5" t="str">
        <f>TEXT(Marketing!$D232,"MMMM")</f>
        <v>February</v>
      </c>
      <c r="C232" s="5" t="str">
        <f>TEXT(Marketing!$D232,"DDDD")</f>
        <v>Sunday</v>
      </c>
      <c r="D232" s="6">
        <v>44248</v>
      </c>
      <c r="E232" s="5" t="s">
        <v>13</v>
      </c>
      <c r="F232" s="5" t="s">
        <v>14</v>
      </c>
      <c r="G232" s="5">
        <v>39889</v>
      </c>
      <c r="H232" s="5">
        <v>42080000</v>
      </c>
      <c r="I232" s="12">
        <v>25023.200000000001</v>
      </c>
      <c r="J232" s="5">
        <v>4208</v>
      </c>
      <c r="K232" s="5">
        <v>67</v>
      </c>
      <c r="L232" s="5">
        <v>10</v>
      </c>
      <c r="M232" s="12">
        <v>31710</v>
      </c>
      <c r="N232" s="14">
        <v>2.6722401611304707E-3</v>
      </c>
      <c r="O232" s="16">
        <v>9.9999999999999995E-7</v>
      </c>
      <c r="P232" s="18">
        <v>1.5922053231939165E-4</v>
      </c>
      <c r="Q232" s="16">
        <v>1.4925373134328356E-3</v>
      </c>
      <c r="R232" s="12">
        <f>IF(Marketing!$L232=0, 0, Marketing!$M232/Marketing!$L232)</f>
        <v>3171</v>
      </c>
      <c r="S232" s="12">
        <f>IF(Marketing!$J232=0,0,Marketing!$I232/Marketing!$J232)</f>
        <v>5.9465779467680608</v>
      </c>
      <c r="T232" s="12">
        <f>IF(Marketing!$K232=0,0,Marketing!$I232/Marketing!$K232)</f>
        <v>373.48059701492537</v>
      </c>
      <c r="U232" s="12">
        <f>Marketing!$M232 - Marketing!$I232</f>
        <v>6686.7999999999993</v>
      </c>
      <c r="V232" s="12">
        <f>IF(Marketing!$L232=0,0,Marketing!$I232/Marketing!$L232)</f>
        <v>2502.3200000000002</v>
      </c>
      <c r="W232" s="5" t="str">
        <f>IF(ISNUMBER(SEARCH("tier1",Marketing!$E232)),"Tier 1","Tier 2")</f>
        <v>Tier 2</v>
      </c>
      <c r="X232" s="5" t="str">
        <f t="shared" si="3"/>
        <v>Tier 2</v>
      </c>
      <c r="Y232" s="5" t="str">
        <f>IF(WEEKDAY(Marketing!$D232,2)&lt;6,"Weekday","Weekend")</f>
        <v>Weekend</v>
      </c>
    </row>
    <row r="233" spans="1:25" x14ac:dyDescent="0.35">
      <c r="A233" s="7">
        <v>232</v>
      </c>
      <c r="B233" s="7" t="str">
        <f>TEXT(Marketing!$D233,"MMMM")</f>
        <v>February</v>
      </c>
      <c r="C233" s="7" t="str">
        <f>TEXT(Marketing!$D233,"DDDD")</f>
        <v>Monday</v>
      </c>
      <c r="D233" s="8">
        <v>44249</v>
      </c>
      <c r="E233" s="7" t="s">
        <v>1</v>
      </c>
      <c r="F233" s="7" t="s">
        <v>2</v>
      </c>
      <c r="G233" s="7">
        <v>349043</v>
      </c>
      <c r="H233" s="7">
        <v>605386</v>
      </c>
      <c r="I233" s="13">
        <v>59710</v>
      </c>
      <c r="J233" s="7">
        <v>4802</v>
      </c>
      <c r="K233" s="7">
        <v>96</v>
      </c>
      <c r="L233" s="7">
        <v>12</v>
      </c>
      <c r="M233" s="13">
        <v>67632</v>
      </c>
      <c r="N233" s="15">
        <v>1.3267459387037348E-3</v>
      </c>
      <c r="O233" s="16">
        <v>7.9321292530715941E-5</v>
      </c>
      <c r="P233" s="18">
        <v>1.9991670137442733E-4</v>
      </c>
      <c r="Q233" s="16">
        <v>1.25E-3</v>
      </c>
      <c r="R233" s="13">
        <f>IF(Marketing!$L233=0, 0, Marketing!$M233/Marketing!$L233)</f>
        <v>5636</v>
      </c>
      <c r="S233" s="13">
        <f>IF(Marketing!$J233=0,0,Marketing!$I233/Marketing!$J233)</f>
        <v>12.434402332361516</v>
      </c>
      <c r="T233" s="13">
        <f>IF(Marketing!$K233=0,0,Marketing!$I233/Marketing!$K233)</f>
        <v>621.97916666666663</v>
      </c>
      <c r="U233" s="13">
        <f>Marketing!$M233 - Marketing!$I233</f>
        <v>7922</v>
      </c>
      <c r="V233" s="13">
        <f>IF(Marketing!$L233=0,0,Marketing!$I233/Marketing!$L233)</f>
        <v>4975.833333333333</v>
      </c>
      <c r="W233" s="7" t="str">
        <f>IF(ISNUMBER(SEARCH("tier1",Marketing!$E233)),"Tier 1","Tier 2")</f>
        <v>Tier 1</v>
      </c>
      <c r="X233" s="7" t="str">
        <f t="shared" si="3"/>
        <v>Tier 1</v>
      </c>
      <c r="Y233" s="7" t="str">
        <f>IF(WEEKDAY(Marketing!$D233,2)&lt;6,"Weekday","Weekend")</f>
        <v>Weekday</v>
      </c>
    </row>
    <row r="234" spans="1:25" x14ac:dyDescent="0.35">
      <c r="A234" s="5">
        <v>233</v>
      </c>
      <c r="B234" s="5" t="str">
        <f>TEXT(Marketing!$D234,"MMMM")</f>
        <v>February</v>
      </c>
      <c r="C234" s="5" t="str">
        <f>TEXT(Marketing!$D234,"DDDD")</f>
        <v>Monday</v>
      </c>
      <c r="D234" s="6">
        <v>44249</v>
      </c>
      <c r="E234" s="7" t="s">
        <v>67</v>
      </c>
      <c r="F234" s="5" t="s">
        <v>2</v>
      </c>
      <c r="G234" s="5">
        <v>348934</v>
      </c>
      <c r="H234" s="5">
        <v>2090371</v>
      </c>
      <c r="I234" s="12">
        <v>95536.2</v>
      </c>
      <c r="J234" s="5">
        <v>6606</v>
      </c>
      <c r="K234" s="5">
        <v>132</v>
      </c>
      <c r="L234" s="5">
        <v>14</v>
      </c>
      <c r="M234" s="12">
        <v>69734</v>
      </c>
      <c r="N234" s="14">
        <v>-2.7007772969827142E-3</v>
      </c>
      <c r="O234" s="16">
        <v>3.1602045761254825E-5</v>
      </c>
      <c r="P234" s="18">
        <v>1.9981834695731153E-4</v>
      </c>
      <c r="Q234" s="16">
        <v>1.0606060606060607E-3</v>
      </c>
      <c r="R234" s="12">
        <f>IF(Marketing!$L234=0, 0, Marketing!$M234/Marketing!$L234)</f>
        <v>4981</v>
      </c>
      <c r="S234" s="12">
        <f>IF(Marketing!$J234=0,0,Marketing!$I234/Marketing!$J234)</f>
        <v>14.462034514078111</v>
      </c>
      <c r="T234" s="12">
        <f>IF(Marketing!$K234=0,0,Marketing!$I234/Marketing!$K234)</f>
        <v>723.7590909090909</v>
      </c>
      <c r="U234" s="12">
        <f>Marketing!$M234 - Marketing!$I234</f>
        <v>-25802.199999999997</v>
      </c>
      <c r="V234" s="12">
        <f>IF(Marketing!$L234=0,0,Marketing!$I234/Marketing!$L234)</f>
        <v>6824.0142857142855</v>
      </c>
      <c r="W234" s="5" t="str">
        <f>IF(ISNUMBER(SEARCH("tier1",Marketing!$E234)),"Tier 1","Tier 2")</f>
        <v>Tier 2</v>
      </c>
      <c r="X234" s="5" t="str">
        <f t="shared" si="3"/>
        <v>Tier 2</v>
      </c>
      <c r="Y234" s="5" t="str">
        <f>IF(WEEKDAY(Marketing!$D234,2)&lt;6,"Weekday","Weekend")</f>
        <v>Weekday</v>
      </c>
    </row>
    <row r="235" spans="1:25" x14ac:dyDescent="0.35">
      <c r="A235" s="7">
        <v>234</v>
      </c>
      <c r="B235" s="7" t="str">
        <f>TEXT(Marketing!$D235,"MMMM")</f>
        <v>February</v>
      </c>
      <c r="C235" s="7" t="str">
        <f>TEXT(Marketing!$D235,"DDDD")</f>
        <v>Monday</v>
      </c>
      <c r="D235" s="8">
        <v>44249</v>
      </c>
      <c r="E235" s="7" t="s">
        <v>3</v>
      </c>
      <c r="F235" s="7" t="s">
        <v>4</v>
      </c>
      <c r="G235" s="7">
        <v>89459845</v>
      </c>
      <c r="H235" s="7">
        <v>90500</v>
      </c>
      <c r="I235" s="13">
        <v>30645.4</v>
      </c>
      <c r="J235" s="7">
        <v>1810</v>
      </c>
      <c r="K235" s="7">
        <v>65</v>
      </c>
      <c r="L235" s="7">
        <v>7</v>
      </c>
      <c r="M235" s="13">
        <v>59045</v>
      </c>
      <c r="N235" s="15">
        <v>9.2671657083934281E-3</v>
      </c>
      <c r="O235" s="16">
        <v>2.0000000000000001E-4</v>
      </c>
      <c r="P235" s="18">
        <v>3.5911602209944752E-4</v>
      </c>
      <c r="Q235" s="16">
        <v>1.0769230769230769E-3</v>
      </c>
      <c r="R235" s="13">
        <f>IF(Marketing!$L235=0, 0, Marketing!$M235/Marketing!$L235)</f>
        <v>8435</v>
      </c>
      <c r="S235" s="13">
        <f>IF(Marketing!$J235=0,0,Marketing!$I235/Marketing!$J235)</f>
        <v>16.931160220994474</v>
      </c>
      <c r="T235" s="13">
        <f>IF(Marketing!$K235=0,0,Marketing!$I235/Marketing!$K235)</f>
        <v>471.46769230769235</v>
      </c>
      <c r="U235" s="13">
        <f>Marketing!$M235 - Marketing!$I235</f>
        <v>28399.599999999999</v>
      </c>
      <c r="V235" s="13">
        <f>IF(Marketing!$L235=0,0,Marketing!$I235/Marketing!$L235)</f>
        <v>4377.9142857142861</v>
      </c>
      <c r="W235" s="7" t="str">
        <f>IF(ISNUMBER(SEARCH("tier1",Marketing!$E235)),"Tier 1","Tier 2")</f>
        <v>Tier 2</v>
      </c>
      <c r="X235" s="7" t="str">
        <f t="shared" si="3"/>
        <v>Tier 2</v>
      </c>
      <c r="Y235" s="7" t="str">
        <f>IF(WEEKDAY(Marketing!$D235,2)&lt;6,"Weekday","Weekend")</f>
        <v>Weekday</v>
      </c>
    </row>
    <row r="236" spans="1:25" x14ac:dyDescent="0.35">
      <c r="A236" s="5">
        <v>235</v>
      </c>
      <c r="B236" s="5" t="str">
        <f>TEXT(Marketing!$D236,"MMMM")</f>
        <v>February</v>
      </c>
      <c r="C236" s="5" t="str">
        <f>TEXT(Marketing!$D236,"DDDD")</f>
        <v>Monday</v>
      </c>
      <c r="D236" s="6">
        <v>44249</v>
      </c>
      <c r="E236" s="5" t="s">
        <v>5</v>
      </c>
      <c r="F236" s="5" t="s">
        <v>4</v>
      </c>
      <c r="G236" s="5">
        <v>127823</v>
      </c>
      <c r="H236" s="5">
        <v>959600</v>
      </c>
      <c r="I236" s="12">
        <v>12348.3</v>
      </c>
      <c r="J236" s="5">
        <v>4798</v>
      </c>
      <c r="K236" s="5">
        <v>39</v>
      </c>
      <c r="L236" s="5">
        <v>4</v>
      </c>
      <c r="M236" s="12">
        <v>11924</v>
      </c>
      <c r="N236" s="14">
        <v>-3.4361005158604766E-4</v>
      </c>
      <c r="O236" s="16">
        <v>5.0000000000000002E-5</v>
      </c>
      <c r="P236" s="18">
        <v>8.1283868278449344E-5</v>
      </c>
      <c r="Q236" s="16">
        <v>1.0256410256410256E-3</v>
      </c>
      <c r="R236" s="12">
        <f>IF(Marketing!$L236=0, 0, Marketing!$M236/Marketing!$L236)</f>
        <v>2981</v>
      </c>
      <c r="S236" s="12">
        <f>IF(Marketing!$J236=0,0,Marketing!$I236/Marketing!$J236)</f>
        <v>2.5736348478532722</v>
      </c>
      <c r="T236" s="12">
        <f>IF(Marketing!$K236=0,0,Marketing!$I236/Marketing!$K236)</f>
        <v>316.62307692307689</v>
      </c>
      <c r="U236" s="12">
        <f>Marketing!$M236 - Marketing!$I236</f>
        <v>-424.29999999999927</v>
      </c>
      <c r="V236" s="12">
        <f>IF(Marketing!$L236=0,0,Marketing!$I236/Marketing!$L236)</f>
        <v>3087.0749999999998</v>
      </c>
      <c r="W236" s="5" t="str">
        <f>IF(ISNUMBER(SEARCH("tier1",Marketing!$E236)),"Tier 1","Tier 2")</f>
        <v>Tier 2</v>
      </c>
      <c r="X236" s="5" t="str">
        <f t="shared" si="3"/>
        <v>Tier 2</v>
      </c>
      <c r="Y236" s="5" t="str">
        <f>IF(WEEKDAY(Marketing!$D236,2)&lt;6,"Weekday","Weekend")</f>
        <v>Weekday</v>
      </c>
    </row>
    <row r="237" spans="1:25" x14ac:dyDescent="0.35">
      <c r="A237" s="7">
        <v>236</v>
      </c>
      <c r="B237" s="7" t="str">
        <f>TEXT(Marketing!$D237,"MMMM")</f>
        <v>February</v>
      </c>
      <c r="C237" s="7" t="str">
        <f>TEXT(Marketing!$D237,"DDDD")</f>
        <v>Monday</v>
      </c>
      <c r="D237" s="8">
        <v>44249</v>
      </c>
      <c r="E237" s="7" t="s">
        <v>6</v>
      </c>
      <c r="F237" s="7" t="s">
        <v>7</v>
      </c>
      <c r="G237" s="7">
        <v>10934</v>
      </c>
      <c r="H237" s="7">
        <v>757387</v>
      </c>
      <c r="I237" s="13">
        <v>77803.8</v>
      </c>
      <c r="J237" s="7">
        <v>8997</v>
      </c>
      <c r="K237" s="7">
        <v>180</v>
      </c>
      <c r="L237" s="7">
        <v>42</v>
      </c>
      <c r="M237" s="13">
        <v>359394</v>
      </c>
      <c r="N237" s="15">
        <v>3.6192345361023497E-2</v>
      </c>
      <c r="O237" s="16">
        <v>1.1878999771583087E-4</v>
      </c>
      <c r="P237" s="18">
        <v>2.0006668889629875E-4</v>
      </c>
      <c r="Q237" s="16">
        <v>2.3333333333333335E-3</v>
      </c>
      <c r="R237" s="13">
        <f>IF(Marketing!$L237=0, 0, Marketing!$M237/Marketing!$L237)</f>
        <v>8557</v>
      </c>
      <c r="S237" s="13">
        <f>IF(Marketing!$J237=0,0,Marketing!$I237/Marketing!$J237)</f>
        <v>8.6477492497499178</v>
      </c>
      <c r="T237" s="13">
        <f>IF(Marketing!$K237=0,0,Marketing!$I237/Marketing!$K237)</f>
        <v>432.24333333333334</v>
      </c>
      <c r="U237" s="13">
        <f>Marketing!$M237 - Marketing!$I237</f>
        <v>281590.2</v>
      </c>
      <c r="V237" s="13">
        <f>IF(Marketing!$L237=0,0,Marketing!$I237/Marketing!$L237)</f>
        <v>1852.4714285714285</v>
      </c>
      <c r="W237" s="7" t="str">
        <f>IF(ISNUMBER(SEARCH("tier1",Marketing!$E237)),"Tier 1","Tier 2")</f>
        <v>Tier 2</v>
      </c>
      <c r="X237" s="7" t="str">
        <f t="shared" si="3"/>
        <v>Tier 2</v>
      </c>
      <c r="Y237" s="7" t="str">
        <f>IF(WEEKDAY(Marketing!$D237,2)&lt;6,"Weekday","Weekend")</f>
        <v>Weekday</v>
      </c>
    </row>
    <row r="238" spans="1:25" x14ac:dyDescent="0.35">
      <c r="A238" s="5">
        <v>237</v>
      </c>
      <c r="B238" s="5" t="str">
        <f>TEXT(Marketing!$D238,"MMMM")</f>
        <v>February</v>
      </c>
      <c r="C238" s="5" t="str">
        <f>TEXT(Marketing!$D238,"DDDD")</f>
        <v>Monday</v>
      </c>
      <c r="D238" s="6">
        <v>44249</v>
      </c>
      <c r="E238" s="5" t="s">
        <v>8</v>
      </c>
      <c r="F238" s="5" t="s">
        <v>2</v>
      </c>
      <c r="G238" s="5">
        <v>9034945</v>
      </c>
      <c r="H238" s="5">
        <v>4565811</v>
      </c>
      <c r="I238" s="12">
        <v>33474.699999999997</v>
      </c>
      <c r="J238" s="5">
        <v>5397</v>
      </c>
      <c r="K238" s="5">
        <v>108</v>
      </c>
      <c r="L238" s="5">
        <v>9</v>
      </c>
      <c r="M238" s="12">
        <v>53829</v>
      </c>
      <c r="N238" s="14">
        <v>6.0805025885220798E-3</v>
      </c>
      <c r="O238" s="16">
        <v>1.1820463002082216E-5</v>
      </c>
      <c r="P238" s="18">
        <v>2.0011117287381877E-4</v>
      </c>
      <c r="Q238" s="16">
        <v>8.3333333333333328E-4</v>
      </c>
      <c r="R238" s="12">
        <f>IF(Marketing!$L238=0, 0, Marketing!$M238/Marketing!$L238)</f>
        <v>5981</v>
      </c>
      <c r="S238" s="12">
        <f>IF(Marketing!$J238=0,0,Marketing!$I238/Marketing!$J238)</f>
        <v>6.2024643320363158</v>
      </c>
      <c r="T238" s="12">
        <f>IF(Marketing!$K238=0,0,Marketing!$I238/Marketing!$K238)</f>
        <v>309.9509259259259</v>
      </c>
      <c r="U238" s="12">
        <f>Marketing!$M238 - Marketing!$I238</f>
        <v>20354.300000000003</v>
      </c>
      <c r="V238" s="12">
        <f>IF(Marketing!$L238=0,0,Marketing!$I238/Marketing!$L238)</f>
        <v>3719.4111111111106</v>
      </c>
      <c r="W238" s="5" t="str">
        <f>IF(ISNUMBER(SEARCH("tier1",Marketing!$E238)),"Tier 1","Tier 2")</f>
        <v>Tier 1</v>
      </c>
      <c r="X238" s="5" t="str">
        <f t="shared" si="3"/>
        <v>Tier 1</v>
      </c>
      <c r="Y238" s="5" t="str">
        <f>IF(WEEKDAY(Marketing!$D238,2)&lt;6,"Weekday","Weekend")</f>
        <v>Weekday</v>
      </c>
    </row>
    <row r="239" spans="1:25" x14ac:dyDescent="0.35">
      <c r="A239" s="7">
        <v>238</v>
      </c>
      <c r="B239" s="7" t="str">
        <f>TEXT(Marketing!$D239,"MMMM")</f>
        <v>February</v>
      </c>
      <c r="C239" s="7" t="str">
        <f>TEXT(Marketing!$D239,"DDDD")</f>
        <v>Monday</v>
      </c>
      <c r="D239" s="8">
        <v>44249</v>
      </c>
      <c r="E239" s="7" t="s">
        <v>9</v>
      </c>
      <c r="F239" s="7" t="s">
        <v>2</v>
      </c>
      <c r="G239" s="7">
        <v>983498</v>
      </c>
      <c r="H239" s="7">
        <v>2190892</v>
      </c>
      <c r="I239" s="13">
        <v>19196.599999999999</v>
      </c>
      <c r="J239" s="7">
        <v>10202</v>
      </c>
      <c r="K239" s="7">
        <v>124</v>
      </c>
      <c r="L239" s="7">
        <v>7</v>
      </c>
      <c r="M239" s="13">
        <v>14602</v>
      </c>
      <c r="N239" s="15">
        <v>-2.3934446724940871E-3</v>
      </c>
      <c r="O239" s="16">
        <v>4.656550847782547E-5</v>
      </c>
      <c r="P239" s="18">
        <v>1.2154479513820821E-4</v>
      </c>
      <c r="Q239" s="16">
        <v>5.6451612903225801E-4</v>
      </c>
      <c r="R239" s="13">
        <f>IF(Marketing!$L239=0, 0, Marketing!$M239/Marketing!$L239)</f>
        <v>2086</v>
      </c>
      <c r="S239" s="13">
        <f>IF(Marketing!$J239=0,0,Marketing!$I239/Marketing!$J239)</f>
        <v>1.8816506567339737</v>
      </c>
      <c r="T239" s="13">
        <f>IF(Marketing!$K239=0,0,Marketing!$I239/Marketing!$K239)</f>
        <v>154.81129032258065</v>
      </c>
      <c r="U239" s="13">
        <f>Marketing!$M239 - Marketing!$I239</f>
        <v>-4594.5999999999985</v>
      </c>
      <c r="V239" s="13">
        <f>IF(Marketing!$L239=0,0,Marketing!$I239/Marketing!$L239)</f>
        <v>2742.3714285714282</v>
      </c>
      <c r="W239" s="7" t="str">
        <f>IF(ISNUMBER(SEARCH("tier1",Marketing!$E239)),"Tier 1","Tier 2")</f>
        <v>Tier 2</v>
      </c>
      <c r="X239" s="7" t="str">
        <f t="shared" si="3"/>
        <v>Tier 2</v>
      </c>
      <c r="Y239" s="7" t="str">
        <f>IF(WEEKDAY(Marketing!$D239,2)&lt;6,"Weekday","Weekend")</f>
        <v>Weekday</v>
      </c>
    </row>
    <row r="240" spans="1:25" x14ac:dyDescent="0.35">
      <c r="A240" s="5">
        <v>239</v>
      </c>
      <c r="B240" s="5" t="str">
        <f>TEXT(Marketing!$D240,"MMMM")</f>
        <v>February</v>
      </c>
      <c r="C240" s="5" t="str">
        <f>TEXT(Marketing!$D240,"DDDD")</f>
        <v>Monday</v>
      </c>
      <c r="D240" s="6">
        <v>44249</v>
      </c>
      <c r="E240" s="5" t="s">
        <v>10</v>
      </c>
      <c r="F240" s="5" t="s">
        <v>2</v>
      </c>
      <c r="G240" s="5">
        <v>4387490</v>
      </c>
      <c r="H240" s="5">
        <v>17821</v>
      </c>
      <c r="I240" s="12">
        <v>5792.48</v>
      </c>
      <c r="J240" s="5">
        <v>598</v>
      </c>
      <c r="K240" s="5">
        <v>12</v>
      </c>
      <c r="L240" s="5">
        <v>3</v>
      </c>
      <c r="M240" s="12">
        <v>12168</v>
      </c>
      <c r="N240" s="14">
        <v>1.1006546418805073E-2</v>
      </c>
      <c r="O240" s="16">
        <v>3.3555917176364961E-4</v>
      </c>
      <c r="P240" s="18">
        <v>2.0066889632107025E-4</v>
      </c>
      <c r="Q240" s="16">
        <v>2.5000000000000001E-3</v>
      </c>
      <c r="R240" s="12">
        <f>IF(Marketing!$L240=0, 0, Marketing!$M240/Marketing!$L240)</f>
        <v>4056</v>
      </c>
      <c r="S240" s="12">
        <f>IF(Marketing!$J240=0,0,Marketing!$I240/Marketing!$J240)</f>
        <v>9.6864214046822728</v>
      </c>
      <c r="T240" s="12">
        <f>IF(Marketing!$K240=0,0,Marketing!$I240/Marketing!$K240)</f>
        <v>482.70666666666665</v>
      </c>
      <c r="U240" s="12">
        <f>Marketing!$M240 - Marketing!$I240</f>
        <v>6375.52</v>
      </c>
      <c r="V240" s="12">
        <f>IF(Marketing!$L240=0,0,Marketing!$I240/Marketing!$L240)</f>
        <v>1930.8266666666666</v>
      </c>
      <c r="W240" s="5" t="str">
        <f>IF(ISNUMBER(SEARCH("tier1",Marketing!$E240)),"Tier 1","Tier 2")</f>
        <v>Tier 2</v>
      </c>
      <c r="X240" s="5" t="str">
        <f t="shared" si="3"/>
        <v>Tier 2</v>
      </c>
      <c r="Y240" s="5" t="str">
        <f>IF(WEEKDAY(Marketing!$D240,2)&lt;6,"Weekday","Weekend")</f>
        <v>Weekday</v>
      </c>
    </row>
    <row r="241" spans="1:25" x14ac:dyDescent="0.35">
      <c r="A241" s="7">
        <v>240</v>
      </c>
      <c r="B241" s="7" t="str">
        <f>TEXT(Marketing!$D241,"MMMM")</f>
        <v>February</v>
      </c>
      <c r="C241" s="7" t="str">
        <f>TEXT(Marketing!$D241,"DDDD")</f>
        <v>Monday</v>
      </c>
      <c r="D241" s="8">
        <v>44249</v>
      </c>
      <c r="E241" s="7" t="s">
        <v>11</v>
      </c>
      <c r="F241" s="7" t="s">
        <v>2</v>
      </c>
      <c r="G241" s="7">
        <v>544756</v>
      </c>
      <c r="H241" s="7">
        <v>239600</v>
      </c>
      <c r="I241" s="13">
        <v>51783.3</v>
      </c>
      <c r="J241" s="7">
        <v>2396</v>
      </c>
      <c r="K241" s="7">
        <v>48</v>
      </c>
      <c r="L241" s="7">
        <v>6</v>
      </c>
      <c r="M241" s="13">
        <v>5886</v>
      </c>
      <c r="N241" s="15">
        <v>-8.8633401115803742E-3</v>
      </c>
      <c r="O241" s="16">
        <v>1E-4</v>
      </c>
      <c r="P241" s="18">
        <v>2.0033388981636059E-4</v>
      </c>
      <c r="Q241" s="16">
        <v>1.25E-3</v>
      </c>
      <c r="R241" s="13">
        <f>IF(Marketing!$L241=0, 0, Marketing!$M241/Marketing!$L241)</f>
        <v>981</v>
      </c>
      <c r="S241" s="13">
        <f>IF(Marketing!$J241=0,0,Marketing!$I241/Marketing!$J241)</f>
        <v>21.612395659432387</v>
      </c>
      <c r="T241" s="13">
        <f>IF(Marketing!$K241=0,0,Marketing!$I241/Marketing!$K241)</f>
        <v>1078.8187500000001</v>
      </c>
      <c r="U241" s="13">
        <f>Marketing!$M241 - Marketing!$I241</f>
        <v>-45897.3</v>
      </c>
      <c r="V241" s="13">
        <f>IF(Marketing!$L241=0,0,Marketing!$I241/Marketing!$L241)</f>
        <v>8630.5500000000011</v>
      </c>
      <c r="W241" s="7" t="str">
        <f>IF(ISNUMBER(SEARCH("tier1",Marketing!$E241)),"Tier 1","Tier 2")</f>
        <v>Tier 2</v>
      </c>
      <c r="X241" s="7" t="str">
        <f t="shared" si="3"/>
        <v>Tier 2</v>
      </c>
      <c r="Y241" s="7" t="str">
        <f>IF(WEEKDAY(Marketing!$D241,2)&lt;6,"Weekday","Weekend")</f>
        <v>Weekday</v>
      </c>
    </row>
    <row r="242" spans="1:25" x14ac:dyDescent="0.35">
      <c r="A242" s="5">
        <v>241</v>
      </c>
      <c r="B242" s="5" t="str">
        <f>TEXT(Marketing!$D242,"MMMM")</f>
        <v>February</v>
      </c>
      <c r="C242" s="5" t="str">
        <f>TEXT(Marketing!$D242,"DDDD")</f>
        <v>Monday</v>
      </c>
      <c r="D242" s="6">
        <v>44249</v>
      </c>
      <c r="E242" s="5" t="s">
        <v>12</v>
      </c>
      <c r="F242" s="5" t="s">
        <v>7</v>
      </c>
      <c r="G242" s="5">
        <v>374754</v>
      </c>
      <c r="H242" s="5">
        <v>599700</v>
      </c>
      <c r="I242" s="12">
        <v>137382</v>
      </c>
      <c r="J242" s="5">
        <v>5997</v>
      </c>
      <c r="K242" s="5">
        <v>236</v>
      </c>
      <c r="L242" s="5">
        <v>35</v>
      </c>
      <c r="M242" s="12">
        <v>158340</v>
      </c>
      <c r="N242" s="14">
        <v>1.5255273616630999E-3</v>
      </c>
      <c r="O242" s="16">
        <v>1E-4</v>
      </c>
      <c r="P242" s="18">
        <v>3.9353009838252463E-4</v>
      </c>
      <c r="Q242" s="16">
        <v>1.4830508474576272E-3</v>
      </c>
      <c r="R242" s="12">
        <f>IF(Marketing!$L242=0, 0, Marketing!$M242/Marketing!$L242)</f>
        <v>4524</v>
      </c>
      <c r="S242" s="12">
        <f>IF(Marketing!$J242=0,0,Marketing!$I242/Marketing!$J242)</f>
        <v>22.908454227113555</v>
      </c>
      <c r="T242" s="12">
        <f>IF(Marketing!$K242=0,0,Marketing!$I242/Marketing!$K242)</f>
        <v>582.12711864406776</v>
      </c>
      <c r="U242" s="12">
        <f>Marketing!$M242 - Marketing!$I242</f>
        <v>20958</v>
      </c>
      <c r="V242" s="12">
        <f>IF(Marketing!$L242=0,0,Marketing!$I242/Marketing!$L242)</f>
        <v>3925.2</v>
      </c>
      <c r="W242" s="5" t="str">
        <f>IF(ISNUMBER(SEARCH("tier1",Marketing!$E242)),"Tier 1","Tier 2")</f>
        <v>Tier 2</v>
      </c>
      <c r="X242" s="5" t="str">
        <f t="shared" si="3"/>
        <v>Tier 2</v>
      </c>
      <c r="Y242" s="5" t="str">
        <f>IF(WEEKDAY(Marketing!$D242,2)&lt;6,"Weekday","Weekend")</f>
        <v>Weekday</v>
      </c>
    </row>
    <row r="243" spans="1:25" x14ac:dyDescent="0.35">
      <c r="A243" s="7">
        <v>242</v>
      </c>
      <c r="B243" s="7" t="str">
        <f>TEXT(Marketing!$D243,"MMMM")</f>
        <v>February</v>
      </c>
      <c r="C243" s="7" t="str">
        <f>TEXT(Marketing!$D243,"DDDD")</f>
        <v>Monday</v>
      </c>
      <c r="D243" s="8">
        <v>44249</v>
      </c>
      <c r="E243" s="7" t="s">
        <v>13</v>
      </c>
      <c r="F243" s="7" t="s">
        <v>14</v>
      </c>
      <c r="G243" s="7">
        <v>39889</v>
      </c>
      <c r="H243" s="7">
        <v>105873774</v>
      </c>
      <c r="I243" s="13">
        <v>60021.599999999999</v>
      </c>
      <c r="J243" s="7">
        <v>8409</v>
      </c>
      <c r="K243" s="7">
        <v>168</v>
      </c>
      <c r="L243" s="7">
        <v>20</v>
      </c>
      <c r="M243" s="13">
        <v>80600</v>
      </c>
      <c r="N243" s="15">
        <v>3.4284990736668138E-3</v>
      </c>
      <c r="O243" s="16">
        <v>7.9424768592833956E-7</v>
      </c>
      <c r="P243" s="18">
        <v>1.9978594363182306E-4</v>
      </c>
      <c r="Q243" s="16">
        <v>1.1904761904761904E-3</v>
      </c>
      <c r="R243" s="13">
        <f>IF(Marketing!$L243=0, 0, Marketing!$M243/Marketing!$L243)</f>
        <v>4030</v>
      </c>
      <c r="S243" s="13">
        <f>IF(Marketing!$J243=0,0,Marketing!$I243/Marketing!$J243)</f>
        <v>7.1377809489832318</v>
      </c>
      <c r="T243" s="13">
        <f>IF(Marketing!$K243=0,0,Marketing!$I243/Marketing!$K243)</f>
        <v>357.27142857142854</v>
      </c>
      <c r="U243" s="13">
        <f>Marketing!$M243 - Marketing!$I243</f>
        <v>20578.400000000001</v>
      </c>
      <c r="V243" s="13">
        <f>IF(Marketing!$L243=0,0,Marketing!$I243/Marketing!$L243)</f>
        <v>3001.08</v>
      </c>
      <c r="W243" s="7" t="str">
        <f>IF(ISNUMBER(SEARCH("tier1",Marketing!$E243)),"Tier 1","Tier 2")</f>
        <v>Tier 2</v>
      </c>
      <c r="X243" s="7" t="str">
        <f t="shared" si="3"/>
        <v>Tier 2</v>
      </c>
      <c r="Y243" s="7" t="str">
        <f>IF(WEEKDAY(Marketing!$D243,2)&lt;6,"Weekday","Weekend")</f>
        <v>Weekday</v>
      </c>
    </row>
    <row r="244" spans="1:25" x14ac:dyDescent="0.35">
      <c r="A244" s="5">
        <v>243</v>
      </c>
      <c r="B244" s="5" t="str">
        <f>TEXT(Marketing!$D244,"MMMM")</f>
        <v>February</v>
      </c>
      <c r="C244" s="5" t="str">
        <f>TEXT(Marketing!$D244,"DDDD")</f>
        <v>Tuesday</v>
      </c>
      <c r="D244" s="6">
        <v>44250</v>
      </c>
      <c r="E244" s="5" t="s">
        <v>1</v>
      </c>
      <c r="F244" s="5" t="s">
        <v>2</v>
      </c>
      <c r="G244" s="5">
        <v>349043</v>
      </c>
      <c r="H244" s="5">
        <v>924525</v>
      </c>
      <c r="I244" s="12">
        <v>9858.2800000000007</v>
      </c>
      <c r="J244" s="5">
        <v>1203</v>
      </c>
      <c r="K244" s="5">
        <v>28</v>
      </c>
      <c r="L244" s="5">
        <v>2</v>
      </c>
      <c r="M244" s="12">
        <v>9962</v>
      </c>
      <c r="N244" s="14">
        <v>1.0521105101498368E-4</v>
      </c>
      <c r="O244" s="16">
        <v>1.3012087288066845E-5</v>
      </c>
      <c r="P244" s="18">
        <v>2.3275145469659188E-4</v>
      </c>
      <c r="Q244" s="16">
        <v>7.1428571428571429E-4</v>
      </c>
      <c r="R244" s="12">
        <f>IF(Marketing!$L244=0, 0, Marketing!$M244/Marketing!$L244)</f>
        <v>4981</v>
      </c>
      <c r="S244" s="12">
        <f>IF(Marketing!$J244=0,0,Marketing!$I244/Marketing!$J244)</f>
        <v>8.1947464671654195</v>
      </c>
      <c r="T244" s="12">
        <f>IF(Marketing!$K244=0,0,Marketing!$I244/Marketing!$K244)</f>
        <v>352.0814285714286</v>
      </c>
      <c r="U244" s="12">
        <f>Marketing!$M244 - Marketing!$I244</f>
        <v>103.71999999999935</v>
      </c>
      <c r="V244" s="12">
        <f>IF(Marketing!$L244=0,0,Marketing!$I244/Marketing!$L244)</f>
        <v>4929.1400000000003</v>
      </c>
      <c r="W244" s="5" t="str">
        <f>IF(ISNUMBER(SEARCH("tier1",Marketing!$E244)),"Tier 1","Tier 2")</f>
        <v>Tier 1</v>
      </c>
      <c r="X244" s="5" t="str">
        <f t="shared" si="3"/>
        <v>Tier 1</v>
      </c>
      <c r="Y244" s="5" t="str">
        <f>IF(WEEKDAY(Marketing!$D244,2)&lt;6,"Weekday","Weekend")</f>
        <v>Weekday</v>
      </c>
    </row>
    <row r="245" spans="1:25" x14ac:dyDescent="0.35">
      <c r="A245" s="7">
        <v>244</v>
      </c>
      <c r="B245" s="7" t="str">
        <f>TEXT(Marketing!$D245,"MMMM")</f>
        <v>February</v>
      </c>
      <c r="C245" s="7" t="str">
        <f>TEXT(Marketing!$D245,"DDDD")</f>
        <v>Tuesday</v>
      </c>
      <c r="D245" s="8">
        <v>44250</v>
      </c>
      <c r="E245" s="7" t="s">
        <v>67</v>
      </c>
      <c r="F245" s="7" t="s">
        <v>2</v>
      </c>
      <c r="G245" s="7">
        <v>348934</v>
      </c>
      <c r="H245" s="7">
        <v>475992</v>
      </c>
      <c r="I245" s="13">
        <v>19350</v>
      </c>
      <c r="J245" s="7">
        <v>1641</v>
      </c>
      <c r="K245" s="7">
        <v>37</v>
      </c>
      <c r="L245" s="7">
        <v>3</v>
      </c>
      <c r="M245" s="13">
        <v>12225</v>
      </c>
      <c r="N245" s="15">
        <v>-3.6821705426356589E-3</v>
      </c>
      <c r="O245" s="16">
        <v>3.4475369333938383E-5</v>
      </c>
      <c r="P245" s="18">
        <v>2.2547227300426568E-4</v>
      </c>
      <c r="Q245" s="16">
        <v>8.1081081081081088E-4</v>
      </c>
      <c r="R245" s="13">
        <f>IF(Marketing!$L245=0, 0, Marketing!$M245/Marketing!$L245)</f>
        <v>4075</v>
      </c>
      <c r="S245" s="13">
        <f>IF(Marketing!$J245=0,0,Marketing!$I245/Marketing!$J245)</f>
        <v>11.791590493601463</v>
      </c>
      <c r="T245" s="13">
        <f>IF(Marketing!$K245=0,0,Marketing!$I245/Marketing!$K245)</f>
        <v>522.97297297297303</v>
      </c>
      <c r="U245" s="13">
        <f>Marketing!$M245 - Marketing!$I245</f>
        <v>-7125</v>
      </c>
      <c r="V245" s="13">
        <f>IF(Marketing!$L245=0,0,Marketing!$I245/Marketing!$L245)</f>
        <v>6450</v>
      </c>
      <c r="W245" s="7" t="str">
        <f>IF(ISNUMBER(SEARCH("tier1",Marketing!$E245)),"Tier 1","Tier 2")</f>
        <v>Tier 2</v>
      </c>
      <c r="X245" s="7" t="str">
        <f t="shared" si="3"/>
        <v>Tier 2</v>
      </c>
      <c r="Y245" s="7" t="str">
        <f>IF(WEEKDAY(Marketing!$D245,2)&lt;6,"Weekday","Weekend")</f>
        <v>Weekday</v>
      </c>
    </row>
    <row r="246" spans="1:25" x14ac:dyDescent="0.35">
      <c r="A246" s="5">
        <v>245</v>
      </c>
      <c r="B246" s="5" t="str">
        <f>TEXT(Marketing!$D246,"MMMM")</f>
        <v>February</v>
      </c>
      <c r="C246" s="5" t="str">
        <f>TEXT(Marketing!$D246,"DDDD")</f>
        <v>Tuesday</v>
      </c>
      <c r="D246" s="6">
        <v>44250</v>
      </c>
      <c r="E246" s="5" t="s">
        <v>3</v>
      </c>
      <c r="F246" s="5" t="s">
        <v>4</v>
      </c>
      <c r="G246" s="5">
        <v>89459845</v>
      </c>
      <c r="H246" s="5">
        <v>22175</v>
      </c>
      <c r="I246" s="12">
        <v>5409.21</v>
      </c>
      <c r="J246" s="5">
        <v>442</v>
      </c>
      <c r="K246" s="5">
        <v>9</v>
      </c>
      <c r="L246" s="5">
        <v>2</v>
      </c>
      <c r="M246" s="12">
        <v>15050</v>
      </c>
      <c r="N246" s="14">
        <v>1.7822916839982179E-2</v>
      </c>
      <c r="O246" s="16">
        <v>1.9932356257046222E-4</v>
      </c>
      <c r="P246" s="18">
        <v>2.0361990950226245E-4</v>
      </c>
      <c r="Q246" s="16">
        <v>2.2222222222222222E-3</v>
      </c>
      <c r="R246" s="12">
        <f>IF(Marketing!$L246=0, 0, Marketing!$M246/Marketing!$L246)</f>
        <v>7525</v>
      </c>
      <c r="S246" s="12">
        <f>IF(Marketing!$J246=0,0,Marketing!$I246/Marketing!$J246)</f>
        <v>12.238031674208145</v>
      </c>
      <c r="T246" s="12">
        <f>IF(Marketing!$K246=0,0,Marketing!$I246/Marketing!$K246)</f>
        <v>601.02333333333331</v>
      </c>
      <c r="U246" s="12">
        <f>Marketing!$M246 - Marketing!$I246</f>
        <v>9640.7900000000009</v>
      </c>
      <c r="V246" s="12">
        <f>IF(Marketing!$L246=0,0,Marketing!$I246/Marketing!$L246)</f>
        <v>2704.605</v>
      </c>
      <c r="W246" s="5" t="str">
        <f>IF(ISNUMBER(SEARCH("tier1",Marketing!$E246)),"Tier 1","Tier 2")</f>
        <v>Tier 2</v>
      </c>
      <c r="X246" s="5" t="str">
        <f t="shared" si="3"/>
        <v>Tier 2</v>
      </c>
      <c r="Y246" s="5" t="str">
        <f>IF(WEEKDAY(Marketing!$D246,2)&lt;6,"Weekday","Weekend")</f>
        <v>Weekday</v>
      </c>
    </row>
    <row r="247" spans="1:25" x14ac:dyDescent="0.35">
      <c r="A247" s="7">
        <v>246</v>
      </c>
      <c r="B247" s="7" t="str">
        <f>TEXT(Marketing!$D247,"MMMM")</f>
        <v>February</v>
      </c>
      <c r="C247" s="7" t="str">
        <f>TEXT(Marketing!$D247,"DDDD")</f>
        <v>Tuesday</v>
      </c>
      <c r="D247" s="8">
        <v>44250</v>
      </c>
      <c r="E247" s="7" t="s">
        <v>5</v>
      </c>
      <c r="F247" s="7" t="s">
        <v>4</v>
      </c>
      <c r="G247" s="7">
        <v>127823</v>
      </c>
      <c r="H247" s="7">
        <v>241000</v>
      </c>
      <c r="I247" s="13">
        <v>12581.6</v>
      </c>
      <c r="J247" s="7">
        <v>1205</v>
      </c>
      <c r="K247" s="7">
        <v>24</v>
      </c>
      <c r="L247" s="7">
        <v>3</v>
      </c>
      <c r="M247" s="13">
        <v>8943</v>
      </c>
      <c r="N247" s="15">
        <v>-2.892001017358683E-3</v>
      </c>
      <c r="O247" s="16">
        <v>5.0000000000000002E-5</v>
      </c>
      <c r="P247" s="18">
        <v>1.9917012448132778E-4</v>
      </c>
      <c r="Q247" s="16">
        <v>1.25E-3</v>
      </c>
      <c r="R247" s="13">
        <f>IF(Marketing!$L247=0, 0, Marketing!$M247/Marketing!$L247)</f>
        <v>2981</v>
      </c>
      <c r="S247" s="13">
        <f>IF(Marketing!$J247=0,0,Marketing!$I247/Marketing!$J247)</f>
        <v>10.441161825726141</v>
      </c>
      <c r="T247" s="13">
        <f>IF(Marketing!$K247=0,0,Marketing!$I247/Marketing!$K247)</f>
        <v>524.23333333333335</v>
      </c>
      <c r="U247" s="13">
        <f>Marketing!$M247 - Marketing!$I247</f>
        <v>-3638.6000000000004</v>
      </c>
      <c r="V247" s="13">
        <f>IF(Marketing!$L247=0,0,Marketing!$I247/Marketing!$L247)</f>
        <v>4193.8666666666668</v>
      </c>
      <c r="W247" s="7" t="str">
        <f>IF(ISNUMBER(SEARCH("tier1",Marketing!$E247)),"Tier 1","Tier 2")</f>
        <v>Tier 2</v>
      </c>
      <c r="X247" s="7" t="str">
        <f t="shared" si="3"/>
        <v>Tier 2</v>
      </c>
      <c r="Y247" s="7" t="str">
        <f>IF(WEEKDAY(Marketing!$D247,2)&lt;6,"Weekday","Weekend")</f>
        <v>Weekday</v>
      </c>
    </row>
    <row r="248" spans="1:25" x14ac:dyDescent="0.35">
      <c r="A248" s="5">
        <v>247</v>
      </c>
      <c r="B248" s="5" t="str">
        <f>TEXT(Marketing!$D248,"MMMM")</f>
        <v>February</v>
      </c>
      <c r="C248" s="5" t="str">
        <f>TEXT(Marketing!$D248,"DDDD")</f>
        <v>Tuesday</v>
      </c>
      <c r="D248" s="6">
        <v>44250</v>
      </c>
      <c r="E248" s="5" t="s">
        <v>6</v>
      </c>
      <c r="F248" s="5" t="s">
        <v>7</v>
      </c>
      <c r="G248" s="5">
        <v>10934</v>
      </c>
      <c r="H248" s="5">
        <v>297609</v>
      </c>
      <c r="I248" s="12">
        <v>16343</v>
      </c>
      <c r="J248" s="5">
        <v>2246</v>
      </c>
      <c r="K248" s="5">
        <v>45</v>
      </c>
      <c r="L248" s="5">
        <v>8</v>
      </c>
      <c r="M248" s="12">
        <v>63848</v>
      </c>
      <c r="N248" s="14">
        <v>2.906749066878786E-2</v>
      </c>
      <c r="O248" s="16">
        <v>7.5468147804669887E-5</v>
      </c>
      <c r="P248" s="18">
        <v>2.0035618878005344E-4</v>
      </c>
      <c r="Q248" s="16">
        <v>1.7777777777777779E-3</v>
      </c>
      <c r="R248" s="12">
        <f>IF(Marketing!$L248=0, 0, Marketing!$M248/Marketing!$L248)</f>
        <v>7981</v>
      </c>
      <c r="S248" s="12">
        <f>IF(Marketing!$J248=0,0,Marketing!$I248/Marketing!$J248)</f>
        <v>7.2764915405164734</v>
      </c>
      <c r="T248" s="12">
        <f>IF(Marketing!$K248=0,0,Marketing!$I248/Marketing!$K248)</f>
        <v>363.17777777777781</v>
      </c>
      <c r="U248" s="12">
        <f>Marketing!$M248 - Marketing!$I248</f>
        <v>47505</v>
      </c>
      <c r="V248" s="12">
        <f>IF(Marketing!$L248=0,0,Marketing!$I248/Marketing!$L248)</f>
        <v>2042.875</v>
      </c>
      <c r="W248" s="5" t="str">
        <f>IF(ISNUMBER(SEARCH("tier1",Marketing!$E248)),"Tier 1","Tier 2")</f>
        <v>Tier 2</v>
      </c>
      <c r="X248" s="5" t="str">
        <f t="shared" si="3"/>
        <v>Tier 2</v>
      </c>
      <c r="Y248" s="5" t="str">
        <f>IF(WEEKDAY(Marketing!$D248,2)&lt;6,"Weekday","Weekend")</f>
        <v>Weekday</v>
      </c>
    </row>
    <row r="249" spans="1:25" x14ac:dyDescent="0.35">
      <c r="A249" s="7">
        <v>248</v>
      </c>
      <c r="B249" s="7" t="str">
        <f>TEXT(Marketing!$D249,"MMMM")</f>
        <v>February</v>
      </c>
      <c r="C249" s="7" t="str">
        <f>TEXT(Marketing!$D249,"DDDD")</f>
        <v>Tuesday</v>
      </c>
      <c r="D249" s="8">
        <v>44250</v>
      </c>
      <c r="E249" s="7" t="s">
        <v>8</v>
      </c>
      <c r="F249" s="7" t="s">
        <v>2</v>
      </c>
      <c r="G249" s="7">
        <v>9034945</v>
      </c>
      <c r="H249" s="7">
        <v>536236</v>
      </c>
      <c r="I249" s="13">
        <v>557.25</v>
      </c>
      <c r="J249" s="7">
        <v>1349</v>
      </c>
      <c r="K249" s="7">
        <v>1</v>
      </c>
      <c r="L249" s="7">
        <v>0</v>
      </c>
      <c r="M249" s="13">
        <v>0</v>
      </c>
      <c r="N249" s="15">
        <v>-0.01</v>
      </c>
      <c r="O249" s="16">
        <v>2.5156833931328741E-5</v>
      </c>
      <c r="P249" s="18">
        <v>7.412898443291327E-6</v>
      </c>
      <c r="Q249" s="16">
        <v>0</v>
      </c>
      <c r="R249" s="13">
        <f>IF(Marketing!$L249=0, 0, Marketing!$M249/Marketing!$L249)</f>
        <v>0</v>
      </c>
      <c r="S249" s="13">
        <f>IF(Marketing!$J249=0,0,Marketing!$I249/Marketing!$J249)</f>
        <v>0.41308376575240918</v>
      </c>
      <c r="T249" s="13">
        <f>IF(Marketing!$K249=0,0,Marketing!$I249/Marketing!$K249)</f>
        <v>557.25</v>
      </c>
      <c r="U249" s="13">
        <f>Marketing!$M249 - Marketing!$I249</f>
        <v>-557.25</v>
      </c>
      <c r="V249" s="13">
        <f>IF(Marketing!$L249=0,0,Marketing!$I249/Marketing!$L249)</f>
        <v>0</v>
      </c>
      <c r="W249" s="7" t="str">
        <f>IF(ISNUMBER(SEARCH("tier1",Marketing!$E249)),"Tier 1","Tier 2")</f>
        <v>Tier 1</v>
      </c>
      <c r="X249" s="7" t="str">
        <f t="shared" si="3"/>
        <v>Tier 1</v>
      </c>
      <c r="Y249" s="7" t="str">
        <f>IF(WEEKDAY(Marketing!$D249,2)&lt;6,"Weekday","Weekend")</f>
        <v>Weekday</v>
      </c>
    </row>
    <row r="250" spans="1:25" x14ac:dyDescent="0.35">
      <c r="A250" s="5">
        <v>249</v>
      </c>
      <c r="B250" s="5" t="str">
        <f>TEXT(Marketing!$D250,"MMMM")</f>
        <v>February</v>
      </c>
      <c r="C250" s="5" t="str">
        <f>TEXT(Marketing!$D250,"DDDD")</f>
        <v>Tuesday</v>
      </c>
      <c r="D250" s="6">
        <v>44250</v>
      </c>
      <c r="E250" s="5" t="s">
        <v>9</v>
      </c>
      <c r="F250" s="5" t="s">
        <v>2</v>
      </c>
      <c r="G250" s="5">
        <v>983498</v>
      </c>
      <c r="H250" s="5">
        <v>512000</v>
      </c>
      <c r="I250" s="12">
        <v>4285.4399999999996</v>
      </c>
      <c r="J250" s="5">
        <v>2560</v>
      </c>
      <c r="K250" s="5">
        <v>51</v>
      </c>
      <c r="L250" s="5">
        <v>2</v>
      </c>
      <c r="M250" s="12">
        <v>2934</v>
      </c>
      <c r="N250" s="14">
        <v>-3.1535618279569886E-3</v>
      </c>
      <c r="O250" s="16">
        <v>5.0000000000000002E-5</v>
      </c>
      <c r="P250" s="18">
        <v>1.9921874999999999E-4</v>
      </c>
      <c r="Q250" s="16">
        <v>3.9215686274509802E-4</v>
      </c>
      <c r="R250" s="12">
        <f>IF(Marketing!$L250=0, 0, Marketing!$M250/Marketing!$L250)</f>
        <v>1467</v>
      </c>
      <c r="S250" s="12">
        <f>IF(Marketing!$J250=0,0,Marketing!$I250/Marketing!$J250)</f>
        <v>1.6739999999999999</v>
      </c>
      <c r="T250" s="12">
        <f>IF(Marketing!$K250=0,0,Marketing!$I250/Marketing!$K250)</f>
        <v>84.028235294117636</v>
      </c>
      <c r="U250" s="12">
        <f>Marketing!$M250 - Marketing!$I250</f>
        <v>-1351.4399999999996</v>
      </c>
      <c r="V250" s="12">
        <f>IF(Marketing!$L250=0,0,Marketing!$I250/Marketing!$L250)</f>
        <v>2142.7199999999998</v>
      </c>
      <c r="W250" s="5" t="str">
        <f>IF(ISNUMBER(SEARCH("tier1",Marketing!$E250)),"Tier 1","Tier 2")</f>
        <v>Tier 2</v>
      </c>
      <c r="X250" s="5" t="str">
        <f t="shared" si="3"/>
        <v>Tier 2</v>
      </c>
      <c r="Y250" s="5" t="str">
        <f>IF(WEEKDAY(Marketing!$D250,2)&lt;6,"Weekday","Weekend")</f>
        <v>Weekday</v>
      </c>
    </row>
    <row r="251" spans="1:25" x14ac:dyDescent="0.35">
      <c r="A251" s="7">
        <v>250</v>
      </c>
      <c r="B251" s="7" t="str">
        <f>TEXT(Marketing!$D251,"MMMM")</f>
        <v>February</v>
      </c>
      <c r="C251" s="7" t="str">
        <f>TEXT(Marketing!$D251,"DDDD")</f>
        <v>Tuesday</v>
      </c>
      <c r="D251" s="8">
        <v>44250</v>
      </c>
      <c r="E251" s="7" t="s">
        <v>10</v>
      </c>
      <c r="F251" s="7" t="s">
        <v>2</v>
      </c>
      <c r="G251" s="7">
        <v>4387490</v>
      </c>
      <c r="H251" s="7">
        <v>4908</v>
      </c>
      <c r="I251" s="13">
        <v>1238.0899999999999</v>
      </c>
      <c r="J251" s="7">
        <v>155</v>
      </c>
      <c r="K251" s="7">
        <v>3</v>
      </c>
      <c r="L251" s="7">
        <v>1</v>
      </c>
      <c r="M251" s="13">
        <v>5265</v>
      </c>
      <c r="N251" s="15">
        <v>3.2525179914222713E-2</v>
      </c>
      <c r="O251" s="16">
        <v>3.1581092094539528E-4</v>
      </c>
      <c r="P251" s="18">
        <v>1.9354838709677422E-4</v>
      </c>
      <c r="Q251" s="16">
        <v>3.3333333333333331E-3</v>
      </c>
      <c r="R251" s="13">
        <f>IF(Marketing!$L251=0, 0, Marketing!$M251/Marketing!$L251)</f>
        <v>5265</v>
      </c>
      <c r="S251" s="13">
        <f>IF(Marketing!$J251=0,0,Marketing!$I251/Marketing!$J251)</f>
        <v>7.9876774193548385</v>
      </c>
      <c r="T251" s="13">
        <f>IF(Marketing!$K251=0,0,Marketing!$I251/Marketing!$K251)</f>
        <v>412.69666666666666</v>
      </c>
      <c r="U251" s="13">
        <f>Marketing!$M251 - Marketing!$I251</f>
        <v>4026.91</v>
      </c>
      <c r="V251" s="13">
        <f>IF(Marketing!$L251=0,0,Marketing!$I251/Marketing!$L251)</f>
        <v>1238.0899999999999</v>
      </c>
      <c r="W251" s="7" t="str">
        <f>IF(ISNUMBER(SEARCH("tier1",Marketing!$E251)),"Tier 1","Tier 2")</f>
        <v>Tier 2</v>
      </c>
      <c r="X251" s="7" t="str">
        <f t="shared" si="3"/>
        <v>Tier 2</v>
      </c>
      <c r="Y251" s="7" t="str">
        <f>IF(WEEKDAY(Marketing!$D251,2)&lt;6,"Weekday","Weekend")</f>
        <v>Weekday</v>
      </c>
    </row>
    <row r="252" spans="1:25" x14ac:dyDescent="0.35">
      <c r="A252" s="5">
        <v>251</v>
      </c>
      <c r="B252" s="5" t="str">
        <f>TEXT(Marketing!$D252,"MMMM")</f>
        <v>February</v>
      </c>
      <c r="C252" s="5" t="str">
        <f>TEXT(Marketing!$D252,"DDDD")</f>
        <v>Tuesday</v>
      </c>
      <c r="D252" s="6">
        <v>44250</v>
      </c>
      <c r="E252" s="5" t="s">
        <v>11</v>
      </c>
      <c r="F252" s="5" t="s">
        <v>2</v>
      </c>
      <c r="G252" s="5">
        <v>544756</v>
      </c>
      <c r="H252" s="5">
        <v>60800</v>
      </c>
      <c r="I252" s="12">
        <v>16078.6</v>
      </c>
      <c r="J252" s="5">
        <v>608</v>
      </c>
      <c r="K252" s="5">
        <v>12</v>
      </c>
      <c r="L252" s="5">
        <v>2</v>
      </c>
      <c r="M252" s="12">
        <v>2720</v>
      </c>
      <c r="N252" s="14">
        <v>-8.3083104250370049E-3</v>
      </c>
      <c r="O252" s="16">
        <v>1E-4</v>
      </c>
      <c r="P252" s="18">
        <v>1.9736842105263157E-4</v>
      </c>
      <c r="Q252" s="16">
        <v>1.6666666666666666E-3</v>
      </c>
      <c r="R252" s="12">
        <f>IF(Marketing!$L252=0, 0, Marketing!$M252/Marketing!$L252)</f>
        <v>1360</v>
      </c>
      <c r="S252" s="12">
        <f>IF(Marketing!$J252=0,0,Marketing!$I252/Marketing!$J252)</f>
        <v>26.445065789473684</v>
      </c>
      <c r="T252" s="12">
        <f>IF(Marketing!$K252=0,0,Marketing!$I252/Marketing!$K252)</f>
        <v>1339.8833333333334</v>
      </c>
      <c r="U252" s="12">
        <f>Marketing!$M252 - Marketing!$I252</f>
        <v>-13358.6</v>
      </c>
      <c r="V252" s="12">
        <f>IF(Marketing!$L252=0,0,Marketing!$I252/Marketing!$L252)</f>
        <v>8039.3</v>
      </c>
      <c r="W252" s="5" t="str">
        <f>IF(ISNUMBER(SEARCH("tier1",Marketing!$E252)),"Tier 1","Tier 2")</f>
        <v>Tier 2</v>
      </c>
      <c r="X252" s="5" t="str">
        <f t="shared" si="3"/>
        <v>Tier 2</v>
      </c>
      <c r="Y252" s="5" t="str">
        <f>IF(WEEKDAY(Marketing!$D252,2)&lt;6,"Weekday","Weekend")</f>
        <v>Weekday</v>
      </c>
    </row>
    <row r="253" spans="1:25" x14ac:dyDescent="0.35">
      <c r="A253" s="7">
        <v>252</v>
      </c>
      <c r="B253" s="7" t="str">
        <f>TEXT(Marketing!$D253,"MMMM")</f>
        <v>February</v>
      </c>
      <c r="C253" s="7" t="str">
        <f>TEXT(Marketing!$D253,"DDDD")</f>
        <v>Tuesday</v>
      </c>
      <c r="D253" s="8">
        <v>44250</v>
      </c>
      <c r="E253" s="7" t="s">
        <v>12</v>
      </c>
      <c r="F253" s="7" t="s">
        <v>7</v>
      </c>
      <c r="G253" s="7">
        <v>374754</v>
      </c>
      <c r="H253" s="7">
        <v>117218</v>
      </c>
      <c r="I253" s="13">
        <v>15435</v>
      </c>
      <c r="J253" s="7">
        <v>1500</v>
      </c>
      <c r="K253" s="7">
        <v>31</v>
      </c>
      <c r="L253" s="7">
        <v>4</v>
      </c>
      <c r="M253" s="13">
        <v>17816</v>
      </c>
      <c r="N253" s="15">
        <v>1.5425979915775834E-3</v>
      </c>
      <c r="O253" s="16">
        <v>1.2796669453496903E-4</v>
      </c>
      <c r="P253" s="18">
        <v>2.0666666666666666E-4</v>
      </c>
      <c r="Q253" s="16">
        <v>1.2903225806451613E-3</v>
      </c>
      <c r="R253" s="13">
        <f>IF(Marketing!$L253=0, 0, Marketing!$M253/Marketing!$L253)</f>
        <v>4454</v>
      </c>
      <c r="S253" s="13">
        <f>IF(Marketing!$J253=0,0,Marketing!$I253/Marketing!$J253)</f>
        <v>10.29</v>
      </c>
      <c r="T253" s="13">
        <f>IF(Marketing!$K253=0,0,Marketing!$I253/Marketing!$K253)</f>
        <v>497.90322580645159</v>
      </c>
      <c r="U253" s="13">
        <f>Marketing!$M253 - Marketing!$I253</f>
        <v>2381</v>
      </c>
      <c r="V253" s="13">
        <f>IF(Marketing!$L253=0,0,Marketing!$I253/Marketing!$L253)</f>
        <v>3858.75</v>
      </c>
      <c r="W253" s="7" t="str">
        <f>IF(ISNUMBER(SEARCH("tier1",Marketing!$E253)),"Tier 1","Tier 2")</f>
        <v>Tier 2</v>
      </c>
      <c r="X253" s="7" t="str">
        <f t="shared" si="3"/>
        <v>Tier 2</v>
      </c>
      <c r="Y253" s="7" t="str">
        <f>IF(WEEKDAY(Marketing!$D253,2)&lt;6,"Weekday","Weekend")</f>
        <v>Weekday</v>
      </c>
    </row>
    <row r="254" spans="1:25" x14ac:dyDescent="0.35">
      <c r="A254" s="5">
        <v>253</v>
      </c>
      <c r="B254" s="5" t="str">
        <f>TEXT(Marketing!$D254,"MMMM")</f>
        <v>February</v>
      </c>
      <c r="C254" s="5" t="str">
        <f>TEXT(Marketing!$D254,"DDDD")</f>
        <v>Tuesday</v>
      </c>
      <c r="D254" s="6">
        <v>44250</v>
      </c>
      <c r="E254" s="5" t="s">
        <v>13</v>
      </c>
      <c r="F254" s="5" t="s">
        <v>14</v>
      </c>
      <c r="G254" s="5">
        <v>39889</v>
      </c>
      <c r="H254" s="5">
        <v>654544</v>
      </c>
      <c r="I254" s="12">
        <v>16706.400000000001</v>
      </c>
      <c r="J254" s="5">
        <v>2099</v>
      </c>
      <c r="K254" s="5">
        <v>42</v>
      </c>
      <c r="L254" s="5">
        <v>6</v>
      </c>
      <c r="M254" s="12">
        <v>23886</v>
      </c>
      <c r="N254" s="14">
        <v>4.297514724895847E-3</v>
      </c>
      <c r="O254" s="16">
        <v>3.2068126818059599E-5</v>
      </c>
      <c r="P254" s="18">
        <v>2.0009528346831825E-4</v>
      </c>
      <c r="Q254" s="16">
        <v>1.4285714285714286E-3</v>
      </c>
      <c r="R254" s="12">
        <f>IF(Marketing!$L254=0, 0, Marketing!$M254/Marketing!$L254)</f>
        <v>3981</v>
      </c>
      <c r="S254" s="12">
        <f>IF(Marketing!$J254=0,0,Marketing!$I254/Marketing!$J254)</f>
        <v>7.9592186755597911</v>
      </c>
      <c r="T254" s="12">
        <f>IF(Marketing!$K254=0,0,Marketing!$I254/Marketing!$K254)</f>
        <v>397.7714285714286</v>
      </c>
      <c r="U254" s="12">
        <f>Marketing!$M254 - Marketing!$I254</f>
        <v>7179.5999999999985</v>
      </c>
      <c r="V254" s="12">
        <f>IF(Marketing!$L254=0,0,Marketing!$I254/Marketing!$L254)</f>
        <v>2784.4</v>
      </c>
      <c r="W254" s="5" t="str">
        <f>IF(ISNUMBER(SEARCH("tier1",Marketing!$E254)),"Tier 1","Tier 2")</f>
        <v>Tier 2</v>
      </c>
      <c r="X254" s="5" t="str">
        <f t="shared" si="3"/>
        <v>Tier 2</v>
      </c>
      <c r="Y254" s="5" t="str">
        <f>IF(WEEKDAY(Marketing!$D254,2)&lt;6,"Weekday","Weekend")</f>
        <v>Weekday</v>
      </c>
    </row>
    <row r="255" spans="1:25" x14ac:dyDescent="0.35">
      <c r="A255" s="7">
        <v>254</v>
      </c>
      <c r="B255" s="7" t="str">
        <f>TEXT(Marketing!$D255,"MMMM")</f>
        <v>February</v>
      </c>
      <c r="C255" s="7" t="str">
        <f>TEXT(Marketing!$D255,"DDDD")</f>
        <v>Wednesday</v>
      </c>
      <c r="D255" s="8">
        <v>44251</v>
      </c>
      <c r="E255" s="7" t="s">
        <v>1</v>
      </c>
      <c r="F255" s="7" t="s">
        <v>2</v>
      </c>
      <c r="G255" s="7">
        <v>349043</v>
      </c>
      <c r="H255" s="7">
        <v>479596</v>
      </c>
      <c r="I255" s="13">
        <v>94564.2</v>
      </c>
      <c r="J255" s="7">
        <v>2408</v>
      </c>
      <c r="K255" s="7">
        <v>93</v>
      </c>
      <c r="L255" s="7">
        <v>15</v>
      </c>
      <c r="M255" s="13">
        <v>81825</v>
      </c>
      <c r="N255" s="15">
        <v>-1.3471482865608758E-3</v>
      </c>
      <c r="O255" s="16">
        <v>5.020892584592032E-5</v>
      </c>
      <c r="P255" s="18">
        <v>3.8621262458471764E-4</v>
      </c>
      <c r="Q255" s="16">
        <v>1.6129032258064516E-3</v>
      </c>
      <c r="R255" s="13">
        <f>IF(Marketing!$L255=0, 0, Marketing!$M255/Marketing!$L255)</f>
        <v>5455</v>
      </c>
      <c r="S255" s="13">
        <f>IF(Marketing!$J255=0,0,Marketing!$I255/Marketing!$J255)</f>
        <v>39.270847176079734</v>
      </c>
      <c r="T255" s="13">
        <f>IF(Marketing!$K255=0,0,Marketing!$I255/Marketing!$K255)</f>
        <v>1016.8193548387096</v>
      </c>
      <c r="U255" s="13">
        <f>Marketing!$M255 - Marketing!$I255</f>
        <v>-12739.199999999997</v>
      </c>
      <c r="V255" s="13">
        <f>IF(Marketing!$L255=0,0,Marketing!$I255/Marketing!$L255)</f>
        <v>6304.28</v>
      </c>
      <c r="W255" s="7" t="str">
        <f>IF(ISNUMBER(SEARCH("tier1",Marketing!$E255)),"Tier 1","Tier 2")</f>
        <v>Tier 1</v>
      </c>
      <c r="X255" s="7" t="str">
        <f t="shared" si="3"/>
        <v>Tier 1</v>
      </c>
      <c r="Y255" s="7" t="str">
        <f>IF(WEEKDAY(Marketing!$D255,2)&lt;6,"Weekday","Weekend")</f>
        <v>Weekday</v>
      </c>
    </row>
    <row r="256" spans="1:25" x14ac:dyDescent="0.35">
      <c r="A256" s="5">
        <v>255</v>
      </c>
      <c r="B256" s="5" t="str">
        <f>TEXT(Marketing!$D256,"MMMM")</f>
        <v>February</v>
      </c>
      <c r="C256" s="5" t="str">
        <f>TEXT(Marketing!$D256,"DDDD")</f>
        <v>Wednesday</v>
      </c>
      <c r="D256" s="6">
        <v>44251</v>
      </c>
      <c r="E256" s="7" t="s">
        <v>67</v>
      </c>
      <c r="F256" s="5" t="s">
        <v>2</v>
      </c>
      <c r="G256" s="5">
        <v>348934</v>
      </c>
      <c r="H256" s="5">
        <v>395127</v>
      </c>
      <c r="I256" s="12">
        <v>44347.199999999997</v>
      </c>
      <c r="J256" s="5">
        <v>3297</v>
      </c>
      <c r="K256" s="5">
        <v>66</v>
      </c>
      <c r="L256" s="5">
        <v>7</v>
      </c>
      <c r="M256" s="12">
        <v>34867</v>
      </c>
      <c r="N256" s="14">
        <v>-2.1377223364722007E-3</v>
      </c>
      <c r="O256" s="16">
        <v>8.3441526395310888E-5</v>
      </c>
      <c r="P256" s="18">
        <v>2.0018198362147408E-4</v>
      </c>
      <c r="Q256" s="16">
        <v>1.0606060606060607E-3</v>
      </c>
      <c r="R256" s="12">
        <f>IF(Marketing!$L256=0, 0, Marketing!$M256/Marketing!$L256)</f>
        <v>4981</v>
      </c>
      <c r="S256" s="12">
        <f>IF(Marketing!$J256=0,0,Marketing!$I256/Marketing!$J256)</f>
        <v>13.450773430391264</v>
      </c>
      <c r="T256" s="12">
        <f>IF(Marketing!$K256=0,0,Marketing!$I256/Marketing!$K256)</f>
        <v>671.92727272727268</v>
      </c>
      <c r="U256" s="12">
        <f>Marketing!$M256 - Marketing!$I256</f>
        <v>-9480.1999999999971</v>
      </c>
      <c r="V256" s="12">
        <f>IF(Marketing!$L256=0,0,Marketing!$I256/Marketing!$L256)</f>
        <v>6335.3142857142857</v>
      </c>
      <c r="W256" s="5" t="str">
        <f>IF(ISNUMBER(SEARCH("tier1",Marketing!$E256)),"Tier 1","Tier 2")</f>
        <v>Tier 2</v>
      </c>
      <c r="X256" s="5" t="str">
        <f t="shared" si="3"/>
        <v>Tier 2</v>
      </c>
      <c r="Y256" s="5" t="str">
        <f>IF(WEEKDAY(Marketing!$D256,2)&lt;6,"Weekday","Weekend")</f>
        <v>Weekday</v>
      </c>
    </row>
    <row r="257" spans="1:25" x14ac:dyDescent="0.35">
      <c r="A257" s="7">
        <v>256</v>
      </c>
      <c r="B257" s="7" t="str">
        <f>TEXT(Marketing!$D257,"MMMM")</f>
        <v>February</v>
      </c>
      <c r="C257" s="7" t="str">
        <f>TEXT(Marketing!$D257,"DDDD")</f>
        <v>Wednesday</v>
      </c>
      <c r="D257" s="8">
        <v>44251</v>
      </c>
      <c r="E257" s="7" t="s">
        <v>3</v>
      </c>
      <c r="F257" s="7" t="s">
        <v>4</v>
      </c>
      <c r="G257" s="7">
        <v>89459845</v>
      </c>
      <c r="H257" s="7">
        <v>45150</v>
      </c>
      <c r="I257" s="13">
        <v>14306.2</v>
      </c>
      <c r="J257" s="7">
        <v>903</v>
      </c>
      <c r="K257" s="7">
        <v>18</v>
      </c>
      <c r="L257" s="7">
        <v>3</v>
      </c>
      <c r="M257" s="13">
        <v>23943</v>
      </c>
      <c r="N257" s="15">
        <v>6.73610043198054E-3</v>
      </c>
      <c r="O257" s="16">
        <v>2.0000000000000001E-4</v>
      </c>
      <c r="P257" s="18">
        <v>1.9933554817275746E-4</v>
      </c>
      <c r="Q257" s="16">
        <v>1.6666666666666666E-3</v>
      </c>
      <c r="R257" s="13">
        <f>IF(Marketing!$L257=0, 0, Marketing!$M257/Marketing!$L257)</f>
        <v>7981</v>
      </c>
      <c r="S257" s="13">
        <f>IF(Marketing!$J257=0,0,Marketing!$I257/Marketing!$J257)</f>
        <v>15.842967884828351</v>
      </c>
      <c r="T257" s="13">
        <f>IF(Marketing!$K257=0,0,Marketing!$I257/Marketing!$K257)</f>
        <v>794.78888888888889</v>
      </c>
      <c r="U257" s="13">
        <f>Marketing!$M257 - Marketing!$I257</f>
        <v>9636.7999999999993</v>
      </c>
      <c r="V257" s="13">
        <f>IF(Marketing!$L257=0,0,Marketing!$I257/Marketing!$L257)</f>
        <v>4768.7333333333336</v>
      </c>
      <c r="W257" s="7" t="str">
        <f>IF(ISNUMBER(SEARCH("tier1",Marketing!$E257)),"Tier 1","Tier 2")</f>
        <v>Tier 2</v>
      </c>
      <c r="X257" s="7" t="str">
        <f t="shared" si="3"/>
        <v>Tier 2</v>
      </c>
      <c r="Y257" s="7" t="str">
        <f>IF(WEEKDAY(Marketing!$D257,2)&lt;6,"Weekday","Weekend")</f>
        <v>Weekday</v>
      </c>
    </row>
    <row r="258" spans="1:25" x14ac:dyDescent="0.35">
      <c r="A258" s="5">
        <v>257</v>
      </c>
      <c r="B258" s="5" t="str">
        <f>TEXT(Marketing!$D258,"MMMM")</f>
        <v>February</v>
      </c>
      <c r="C258" s="5" t="str">
        <f>TEXT(Marketing!$D258,"DDDD")</f>
        <v>Wednesday</v>
      </c>
      <c r="D258" s="6">
        <v>44251</v>
      </c>
      <c r="E258" s="5" t="s">
        <v>5</v>
      </c>
      <c r="F258" s="5" t="s">
        <v>4</v>
      </c>
      <c r="G258" s="5">
        <v>127823</v>
      </c>
      <c r="H258" s="5">
        <v>291441</v>
      </c>
      <c r="I258" s="12">
        <v>22357.599999999999</v>
      </c>
      <c r="J258" s="5">
        <v>2408</v>
      </c>
      <c r="K258" s="5">
        <v>52</v>
      </c>
      <c r="L258" s="5">
        <v>5</v>
      </c>
      <c r="M258" s="12">
        <v>19060</v>
      </c>
      <c r="N258" s="14">
        <v>-1.4749346978208747E-3</v>
      </c>
      <c r="O258" s="16">
        <v>8.2623927312903804E-5</v>
      </c>
      <c r="P258" s="18">
        <v>2.159468438538206E-4</v>
      </c>
      <c r="Q258" s="16">
        <v>9.6153846153846159E-4</v>
      </c>
      <c r="R258" s="12">
        <f>IF(Marketing!$L258=0, 0, Marketing!$M258/Marketing!$L258)</f>
        <v>3812</v>
      </c>
      <c r="S258" s="12">
        <f>IF(Marketing!$J258=0,0,Marketing!$I258/Marketing!$J258)</f>
        <v>9.2847176079734215</v>
      </c>
      <c r="T258" s="12">
        <f>IF(Marketing!$K258=0,0,Marketing!$I258/Marketing!$K258)</f>
        <v>429.95384615384614</v>
      </c>
      <c r="U258" s="12">
        <f>Marketing!$M258 - Marketing!$I258</f>
        <v>-3297.5999999999985</v>
      </c>
      <c r="V258" s="12">
        <f>IF(Marketing!$L258=0,0,Marketing!$I258/Marketing!$L258)</f>
        <v>4471.5199999999995</v>
      </c>
      <c r="W258" s="5" t="str">
        <f>IF(ISNUMBER(SEARCH("tier1",Marketing!$E258)),"Tier 1","Tier 2")</f>
        <v>Tier 2</v>
      </c>
      <c r="X258" s="5" t="str">
        <f t="shared" ref="X258:X309" si="4">IF(ISNUMBER(SEARCH("tier1", E258)), "Tier 1", IF(ISNUMBER(SEARCH("tier2", E258)), "Tier 2", "Tier 2"))</f>
        <v>Tier 2</v>
      </c>
      <c r="Y258" s="5" t="str">
        <f>IF(WEEKDAY(Marketing!$D258,2)&lt;6,"Weekday","Weekend")</f>
        <v>Weekday</v>
      </c>
    </row>
    <row r="259" spans="1:25" x14ac:dyDescent="0.35">
      <c r="A259" s="7">
        <v>258</v>
      </c>
      <c r="B259" s="7" t="str">
        <f>TEXT(Marketing!$D259,"MMMM")</f>
        <v>February</v>
      </c>
      <c r="C259" s="7" t="str">
        <f>TEXT(Marketing!$D259,"DDDD")</f>
        <v>Wednesday</v>
      </c>
      <c r="D259" s="8">
        <v>44251</v>
      </c>
      <c r="E259" s="7" t="s">
        <v>6</v>
      </c>
      <c r="F259" s="7" t="s">
        <v>7</v>
      </c>
      <c r="G259" s="7">
        <v>10934</v>
      </c>
      <c r="H259" s="7">
        <v>409320</v>
      </c>
      <c r="I259" s="13">
        <v>22944.3</v>
      </c>
      <c r="J259" s="7">
        <v>4508</v>
      </c>
      <c r="K259" s="7">
        <v>65</v>
      </c>
      <c r="L259" s="7">
        <v>14</v>
      </c>
      <c r="M259" s="13">
        <v>111734</v>
      </c>
      <c r="N259" s="15">
        <v>3.8697933691592246E-2</v>
      </c>
      <c r="O259" s="16">
        <v>1.1013388058242939E-4</v>
      </c>
      <c r="P259" s="18">
        <v>1.4418811002661936E-4</v>
      </c>
      <c r="Q259" s="16">
        <v>2.1538461538461538E-3</v>
      </c>
      <c r="R259" s="13">
        <f>IF(Marketing!$L259=0, 0, Marketing!$M259/Marketing!$L259)</f>
        <v>7981</v>
      </c>
      <c r="S259" s="13">
        <f>IF(Marketing!$J259=0,0,Marketing!$I259/Marketing!$J259)</f>
        <v>5.0896850044365571</v>
      </c>
      <c r="T259" s="13">
        <f>IF(Marketing!$K259=0,0,Marketing!$I259/Marketing!$K259)</f>
        <v>352.98923076923074</v>
      </c>
      <c r="U259" s="13">
        <f>Marketing!$M259 - Marketing!$I259</f>
        <v>88789.7</v>
      </c>
      <c r="V259" s="13">
        <f>IF(Marketing!$L259=0,0,Marketing!$I259/Marketing!$L259)</f>
        <v>1638.8785714285714</v>
      </c>
      <c r="W259" s="7" t="str">
        <f>IF(ISNUMBER(SEARCH("tier1",Marketing!$E259)),"Tier 1","Tier 2")</f>
        <v>Tier 2</v>
      </c>
      <c r="X259" s="7" t="str">
        <f t="shared" si="4"/>
        <v>Tier 2</v>
      </c>
      <c r="Y259" s="7" t="str">
        <f>IF(WEEKDAY(Marketing!$D259,2)&lt;6,"Weekday","Weekend")</f>
        <v>Weekday</v>
      </c>
    </row>
    <row r="260" spans="1:25" x14ac:dyDescent="0.35">
      <c r="A260" s="5">
        <v>259</v>
      </c>
      <c r="B260" s="5" t="str">
        <f>TEXT(Marketing!$D260,"MMMM")</f>
        <v>February</v>
      </c>
      <c r="C260" s="5" t="str">
        <f>TEXT(Marketing!$D260,"DDDD")</f>
        <v>Wednesday</v>
      </c>
      <c r="D260" s="6">
        <v>44251</v>
      </c>
      <c r="E260" s="5" t="s">
        <v>8</v>
      </c>
      <c r="F260" s="5" t="s">
        <v>2</v>
      </c>
      <c r="G260" s="5">
        <v>9034945</v>
      </c>
      <c r="H260" s="5">
        <v>869482</v>
      </c>
      <c r="I260" s="12">
        <v>23908.400000000001</v>
      </c>
      <c r="J260" s="5">
        <v>2703</v>
      </c>
      <c r="K260" s="5">
        <v>42</v>
      </c>
      <c r="L260" s="5">
        <v>7</v>
      </c>
      <c r="M260" s="12">
        <v>36456</v>
      </c>
      <c r="N260" s="14">
        <v>5.2481972863094133E-3</v>
      </c>
      <c r="O260" s="16">
        <v>3.108747507136433E-5</v>
      </c>
      <c r="P260" s="18">
        <v>1.5538290788013318E-4</v>
      </c>
      <c r="Q260" s="16">
        <v>1.6666666666666666E-3</v>
      </c>
      <c r="R260" s="12">
        <f>IF(Marketing!$L260=0, 0, Marketing!$M260/Marketing!$L260)</f>
        <v>5208</v>
      </c>
      <c r="S260" s="12">
        <f>IF(Marketing!$J260=0,0,Marketing!$I260/Marketing!$J260)</f>
        <v>8.845135035146134</v>
      </c>
      <c r="T260" s="12">
        <f>IF(Marketing!$K260=0,0,Marketing!$I260/Marketing!$K260)</f>
        <v>569.24761904761908</v>
      </c>
      <c r="U260" s="12">
        <f>Marketing!$M260 - Marketing!$I260</f>
        <v>12547.599999999999</v>
      </c>
      <c r="V260" s="12">
        <f>IF(Marketing!$L260=0,0,Marketing!$I260/Marketing!$L260)</f>
        <v>3415.4857142857145</v>
      </c>
      <c r="W260" s="5" t="str">
        <f>IF(ISNUMBER(SEARCH("tier1",Marketing!$E260)),"Tier 1","Tier 2")</f>
        <v>Tier 1</v>
      </c>
      <c r="X260" s="5" t="str">
        <f t="shared" si="4"/>
        <v>Tier 1</v>
      </c>
      <c r="Y260" s="5" t="str">
        <f>IF(WEEKDAY(Marketing!$D260,2)&lt;6,"Weekday","Weekend")</f>
        <v>Weekday</v>
      </c>
    </row>
    <row r="261" spans="1:25" x14ac:dyDescent="0.35">
      <c r="A261" s="7">
        <v>260</v>
      </c>
      <c r="B261" s="7" t="str">
        <f>TEXT(Marketing!$D261,"MMMM")</f>
        <v>February</v>
      </c>
      <c r="C261" s="7" t="str">
        <f>TEXT(Marketing!$D261,"DDDD")</f>
        <v>Wednesday</v>
      </c>
      <c r="D261" s="8">
        <v>44251</v>
      </c>
      <c r="E261" s="7" t="s">
        <v>9</v>
      </c>
      <c r="F261" s="7" t="s">
        <v>2</v>
      </c>
      <c r="G261" s="7">
        <v>983498</v>
      </c>
      <c r="H261" s="7">
        <v>624157</v>
      </c>
      <c r="I261" s="13">
        <v>18675</v>
      </c>
      <c r="J261" s="7">
        <v>5098</v>
      </c>
      <c r="K261" s="7">
        <v>122</v>
      </c>
      <c r="L261" s="7">
        <v>6</v>
      </c>
      <c r="M261" s="13">
        <v>10590</v>
      </c>
      <c r="N261" s="15">
        <v>-4.3293172690763056E-3</v>
      </c>
      <c r="O261" s="16">
        <v>8.1678167512340641E-5</v>
      </c>
      <c r="P261" s="18">
        <v>2.3930953315025501E-4</v>
      </c>
      <c r="Q261" s="16">
        <v>4.9180327868852459E-4</v>
      </c>
      <c r="R261" s="13">
        <f>IF(Marketing!$L261=0, 0, Marketing!$M261/Marketing!$L261)</f>
        <v>1765</v>
      </c>
      <c r="S261" s="13">
        <f>IF(Marketing!$J261=0,0,Marketing!$I261/Marketing!$J261)</f>
        <v>3.6632012553942723</v>
      </c>
      <c r="T261" s="13">
        <f>IF(Marketing!$K261=0,0,Marketing!$I261/Marketing!$K261)</f>
        <v>153.07377049180329</v>
      </c>
      <c r="U261" s="13">
        <f>Marketing!$M261 - Marketing!$I261</f>
        <v>-8085</v>
      </c>
      <c r="V261" s="13">
        <f>IF(Marketing!$L261=0,0,Marketing!$I261/Marketing!$L261)</f>
        <v>3112.5</v>
      </c>
      <c r="W261" s="7" t="str">
        <f>IF(ISNUMBER(SEARCH("tier1",Marketing!$E261)),"Tier 1","Tier 2")</f>
        <v>Tier 2</v>
      </c>
      <c r="X261" s="7" t="str">
        <f t="shared" si="4"/>
        <v>Tier 2</v>
      </c>
      <c r="Y261" s="7" t="str">
        <f>IF(WEEKDAY(Marketing!$D261,2)&lt;6,"Weekday","Weekend")</f>
        <v>Weekday</v>
      </c>
    </row>
    <row r="262" spans="1:25" x14ac:dyDescent="0.35">
      <c r="A262" s="5">
        <v>261</v>
      </c>
      <c r="B262" s="5" t="str">
        <f>TEXT(Marketing!$D262,"MMMM")</f>
        <v>February</v>
      </c>
      <c r="C262" s="5" t="str">
        <f>TEXT(Marketing!$D262,"DDDD")</f>
        <v>Wednesday</v>
      </c>
      <c r="D262" s="6">
        <v>44251</v>
      </c>
      <c r="E262" s="5" t="s">
        <v>10</v>
      </c>
      <c r="F262" s="5" t="s">
        <v>2</v>
      </c>
      <c r="G262" s="5">
        <v>4387490</v>
      </c>
      <c r="H262" s="5">
        <v>8966</v>
      </c>
      <c r="I262" s="12">
        <v>2857.1</v>
      </c>
      <c r="J262" s="5">
        <v>297</v>
      </c>
      <c r="K262" s="5">
        <v>6</v>
      </c>
      <c r="L262" s="5">
        <v>1</v>
      </c>
      <c r="M262" s="12">
        <v>4981</v>
      </c>
      <c r="N262" s="14">
        <v>7.4337615064225971E-3</v>
      </c>
      <c r="O262" s="16">
        <v>3.3125139415569931E-4</v>
      </c>
      <c r="P262" s="18">
        <v>2.0202020202020205E-4</v>
      </c>
      <c r="Q262" s="16">
        <v>1.6666666666666666E-3</v>
      </c>
      <c r="R262" s="12">
        <f>IF(Marketing!$L262=0, 0, Marketing!$M262/Marketing!$L262)</f>
        <v>4981</v>
      </c>
      <c r="S262" s="12">
        <f>IF(Marketing!$J262=0,0,Marketing!$I262/Marketing!$J262)</f>
        <v>9.619865319865319</v>
      </c>
      <c r="T262" s="12">
        <f>IF(Marketing!$K262=0,0,Marketing!$I262/Marketing!$K262)</f>
        <v>476.18333333333334</v>
      </c>
      <c r="U262" s="12">
        <f>Marketing!$M262 - Marketing!$I262</f>
        <v>2123.9</v>
      </c>
      <c r="V262" s="12">
        <f>IF(Marketing!$L262=0,0,Marketing!$I262/Marketing!$L262)</f>
        <v>2857.1</v>
      </c>
      <c r="W262" s="5" t="str">
        <f>IF(ISNUMBER(SEARCH("tier1",Marketing!$E262)),"Tier 1","Tier 2")</f>
        <v>Tier 2</v>
      </c>
      <c r="X262" s="5" t="str">
        <f t="shared" si="4"/>
        <v>Tier 2</v>
      </c>
      <c r="Y262" s="5" t="str">
        <f>IF(WEEKDAY(Marketing!$D262,2)&lt;6,"Weekday","Weekend")</f>
        <v>Weekday</v>
      </c>
    </row>
    <row r="263" spans="1:25" x14ac:dyDescent="0.35">
      <c r="A263" s="7">
        <v>262</v>
      </c>
      <c r="B263" s="7" t="str">
        <f>TEXT(Marketing!$D263,"MMMM")</f>
        <v>February</v>
      </c>
      <c r="C263" s="7" t="str">
        <f>TEXT(Marketing!$D263,"DDDD")</f>
        <v>Wednesday</v>
      </c>
      <c r="D263" s="8">
        <v>44251</v>
      </c>
      <c r="E263" s="7" t="s">
        <v>11</v>
      </c>
      <c r="F263" s="7" t="s">
        <v>2</v>
      </c>
      <c r="G263" s="7">
        <v>544756</v>
      </c>
      <c r="H263" s="7">
        <v>148794</v>
      </c>
      <c r="I263" s="13">
        <v>48796.6</v>
      </c>
      <c r="J263" s="7">
        <v>1196</v>
      </c>
      <c r="K263" s="7">
        <v>38</v>
      </c>
      <c r="L263" s="7">
        <v>6</v>
      </c>
      <c r="M263" s="13">
        <v>8178</v>
      </c>
      <c r="N263" s="15">
        <v>-8.3240635618055357E-3</v>
      </c>
      <c r="O263" s="16">
        <v>8.037958519832789E-5</v>
      </c>
      <c r="P263" s="18">
        <v>3.1772575250836122E-4</v>
      </c>
      <c r="Q263" s="16">
        <v>1.5789473684210526E-3</v>
      </c>
      <c r="R263" s="13">
        <f>IF(Marketing!$L263=0, 0, Marketing!$M263/Marketing!$L263)</f>
        <v>1363</v>
      </c>
      <c r="S263" s="13">
        <f>IF(Marketing!$J263=0,0,Marketing!$I263/Marketing!$J263)</f>
        <v>40.799832775919732</v>
      </c>
      <c r="T263" s="13">
        <f>IF(Marketing!$K263=0,0,Marketing!$I263/Marketing!$K263)</f>
        <v>1284.121052631579</v>
      </c>
      <c r="U263" s="13">
        <f>Marketing!$M263 - Marketing!$I263</f>
        <v>-40618.6</v>
      </c>
      <c r="V263" s="13">
        <f>IF(Marketing!$L263=0,0,Marketing!$I263/Marketing!$L263)</f>
        <v>8132.7666666666664</v>
      </c>
      <c r="W263" s="7" t="str">
        <f>IF(ISNUMBER(SEARCH("tier1",Marketing!$E263)),"Tier 1","Tier 2")</f>
        <v>Tier 2</v>
      </c>
      <c r="X263" s="7" t="str">
        <f t="shared" si="4"/>
        <v>Tier 2</v>
      </c>
      <c r="Y263" s="7" t="str">
        <f>IF(WEEKDAY(Marketing!$D263,2)&lt;6,"Weekday","Weekend")</f>
        <v>Weekday</v>
      </c>
    </row>
    <row r="264" spans="1:25" x14ac:dyDescent="0.35">
      <c r="A264" s="5">
        <v>263</v>
      </c>
      <c r="B264" s="5" t="str">
        <f>TEXT(Marketing!$D264,"MMMM")</f>
        <v>February</v>
      </c>
      <c r="C264" s="5" t="str">
        <f>TEXT(Marketing!$D264,"DDDD")</f>
        <v>Wednesday</v>
      </c>
      <c r="D264" s="6">
        <v>44251</v>
      </c>
      <c r="E264" s="5" t="s">
        <v>12</v>
      </c>
      <c r="F264" s="5" t="s">
        <v>7</v>
      </c>
      <c r="G264" s="5">
        <v>374754</v>
      </c>
      <c r="H264" s="5">
        <v>355802</v>
      </c>
      <c r="I264" s="12">
        <v>42311.5</v>
      </c>
      <c r="J264" s="5">
        <v>2990</v>
      </c>
      <c r="K264" s="5">
        <v>60</v>
      </c>
      <c r="L264" s="5">
        <v>9</v>
      </c>
      <c r="M264" s="12">
        <v>44829</v>
      </c>
      <c r="N264" s="14">
        <v>5.9499190527397992E-4</v>
      </c>
      <c r="O264" s="16">
        <v>8.4035502892057943E-5</v>
      </c>
      <c r="P264" s="18">
        <v>2.0066889632107025E-4</v>
      </c>
      <c r="Q264" s="16">
        <v>1.5E-3</v>
      </c>
      <c r="R264" s="12">
        <f>IF(Marketing!$L264=0, 0, Marketing!$M264/Marketing!$L264)</f>
        <v>4981</v>
      </c>
      <c r="S264" s="12">
        <f>IF(Marketing!$J264=0,0,Marketing!$I264/Marketing!$J264)</f>
        <v>14.151003344481605</v>
      </c>
      <c r="T264" s="12">
        <f>IF(Marketing!$K264=0,0,Marketing!$I264/Marketing!$K264)</f>
        <v>705.19166666666672</v>
      </c>
      <c r="U264" s="12">
        <f>Marketing!$M264 - Marketing!$I264</f>
        <v>2517.5</v>
      </c>
      <c r="V264" s="12">
        <f>IF(Marketing!$L264=0,0,Marketing!$I264/Marketing!$L264)</f>
        <v>4701.2777777777774</v>
      </c>
      <c r="W264" s="5" t="str">
        <f>IF(ISNUMBER(SEARCH("tier1",Marketing!$E264)),"Tier 1","Tier 2")</f>
        <v>Tier 2</v>
      </c>
      <c r="X264" s="5" t="str">
        <f t="shared" si="4"/>
        <v>Tier 2</v>
      </c>
      <c r="Y264" s="5" t="str">
        <f>IF(WEEKDAY(Marketing!$D264,2)&lt;6,"Weekday","Weekend")</f>
        <v>Weekday</v>
      </c>
    </row>
    <row r="265" spans="1:25" x14ac:dyDescent="0.35">
      <c r="A265" s="7">
        <v>264</v>
      </c>
      <c r="B265" s="7" t="str">
        <f>TEXT(Marketing!$D265,"MMMM")</f>
        <v>February</v>
      </c>
      <c r="C265" s="7" t="str">
        <f>TEXT(Marketing!$D265,"DDDD")</f>
        <v>Wednesday</v>
      </c>
      <c r="D265" s="8">
        <v>44251</v>
      </c>
      <c r="E265" s="7" t="s">
        <v>13</v>
      </c>
      <c r="F265" s="7" t="s">
        <v>14</v>
      </c>
      <c r="G265" s="7">
        <v>39889</v>
      </c>
      <c r="H265" s="7">
        <v>2770687</v>
      </c>
      <c r="I265" s="13">
        <v>34169.9</v>
      </c>
      <c r="J265" s="7">
        <v>4205</v>
      </c>
      <c r="K265" s="7">
        <v>84</v>
      </c>
      <c r="L265" s="7">
        <v>16</v>
      </c>
      <c r="M265" s="13">
        <v>63696</v>
      </c>
      <c r="N265" s="15">
        <v>8.6409676352579307E-3</v>
      </c>
      <c r="O265" s="16">
        <v>1.5176741364145428E-5</v>
      </c>
      <c r="P265" s="18">
        <v>1.9976218787158144E-4</v>
      </c>
      <c r="Q265" s="16">
        <v>1.9047619047619048E-3</v>
      </c>
      <c r="R265" s="13">
        <f>IF(Marketing!$L265=0, 0, Marketing!$M265/Marketing!$L265)</f>
        <v>3981</v>
      </c>
      <c r="S265" s="13">
        <f>IF(Marketing!$J265=0,0,Marketing!$I265/Marketing!$J265)</f>
        <v>8.1260166468489903</v>
      </c>
      <c r="T265" s="13">
        <f>IF(Marketing!$K265=0,0,Marketing!$I265/Marketing!$K265)</f>
        <v>406.78452380952382</v>
      </c>
      <c r="U265" s="13">
        <f>Marketing!$M265 - Marketing!$I265</f>
        <v>29526.1</v>
      </c>
      <c r="V265" s="13">
        <f>IF(Marketing!$L265=0,0,Marketing!$I265/Marketing!$L265)</f>
        <v>2135.6187500000001</v>
      </c>
      <c r="W265" s="7" t="str">
        <f>IF(ISNUMBER(SEARCH("tier1",Marketing!$E265)),"Tier 1","Tier 2")</f>
        <v>Tier 2</v>
      </c>
      <c r="X265" s="7" t="str">
        <f t="shared" si="4"/>
        <v>Tier 2</v>
      </c>
      <c r="Y265" s="7" t="str">
        <f>IF(WEEKDAY(Marketing!$D265,2)&lt;6,"Weekday","Weekend")</f>
        <v>Weekday</v>
      </c>
    </row>
    <row r="266" spans="1:25" x14ac:dyDescent="0.35">
      <c r="A266" s="5">
        <v>265</v>
      </c>
      <c r="B266" s="5" t="str">
        <f>TEXT(Marketing!$D266,"MMMM")</f>
        <v>February</v>
      </c>
      <c r="C266" s="5" t="str">
        <f>TEXT(Marketing!$D266,"DDDD")</f>
        <v>Thursday</v>
      </c>
      <c r="D266" s="6">
        <v>44252</v>
      </c>
      <c r="E266" s="5" t="s">
        <v>1</v>
      </c>
      <c r="F266" s="5" t="s">
        <v>2</v>
      </c>
      <c r="G266" s="5">
        <v>349043</v>
      </c>
      <c r="H266" s="5">
        <v>94600</v>
      </c>
      <c r="I266" s="12">
        <v>11230.2</v>
      </c>
      <c r="J266" s="5">
        <v>473</v>
      </c>
      <c r="K266" s="5">
        <v>15</v>
      </c>
      <c r="L266" s="5">
        <v>2</v>
      </c>
      <c r="M266" s="12">
        <v>10104</v>
      </c>
      <c r="N266" s="14">
        <v>-1.0028316503713209E-3</v>
      </c>
      <c r="O266" s="16">
        <v>5.0000000000000002E-5</v>
      </c>
      <c r="P266" s="18">
        <v>3.1712473572938687E-4</v>
      </c>
      <c r="Q266" s="16">
        <v>1.3333333333333333E-3</v>
      </c>
      <c r="R266" s="12">
        <f>IF(Marketing!$L266=0, 0, Marketing!$M266/Marketing!$L266)</f>
        <v>5052</v>
      </c>
      <c r="S266" s="12">
        <f>IF(Marketing!$J266=0,0,Marketing!$I266/Marketing!$J266)</f>
        <v>23.742494714587739</v>
      </c>
      <c r="T266" s="12">
        <f>IF(Marketing!$K266=0,0,Marketing!$I266/Marketing!$K266)</f>
        <v>748.68000000000006</v>
      </c>
      <c r="U266" s="12">
        <f>Marketing!$M266 - Marketing!$I266</f>
        <v>-1126.2000000000007</v>
      </c>
      <c r="V266" s="12">
        <f>IF(Marketing!$L266=0,0,Marketing!$I266/Marketing!$L266)</f>
        <v>5615.1</v>
      </c>
      <c r="W266" s="5" t="str">
        <f>IF(ISNUMBER(SEARCH("tier1",Marketing!$E266)),"Tier 1","Tier 2")</f>
        <v>Tier 1</v>
      </c>
      <c r="X266" s="5" t="str">
        <f t="shared" si="4"/>
        <v>Tier 1</v>
      </c>
      <c r="Y266" s="5" t="str">
        <f>IF(WEEKDAY(Marketing!$D266,2)&lt;6,"Weekday","Weekend")</f>
        <v>Weekday</v>
      </c>
    </row>
    <row r="267" spans="1:25" x14ac:dyDescent="0.35">
      <c r="A267" s="7">
        <v>266</v>
      </c>
      <c r="B267" s="7" t="str">
        <f>TEXT(Marketing!$D267,"MMMM")</f>
        <v>February</v>
      </c>
      <c r="C267" s="7" t="str">
        <f>TEXT(Marketing!$D267,"DDDD")</f>
        <v>Thursday</v>
      </c>
      <c r="D267" s="8">
        <v>44252</v>
      </c>
      <c r="E267" s="7" t="s">
        <v>67</v>
      </c>
      <c r="F267" s="7" t="s">
        <v>2</v>
      </c>
      <c r="G267" s="7">
        <v>348934</v>
      </c>
      <c r="H267" s="7">
        <v>131400</v>
      </c>
      <c r="I267" s="13">
        <v>10357</v>
      </c>
      <c r="J267" s="7">
        <v>657</v>
      </c>
      <c r="K267" s="7">
        <v>13</v>
      </c>
      <c r="L267" s="7">
        <v>2</v>
      </c>
      <c r="M267" s="13">
        <v>9962</v>
      </c>
      <c r="N267" s="15">
        <v>-3.8138457082166648E-4</v>
      </c>
      <c r="O267" s="16">
        <v>5.0000000000000002E-5</v>
      </c>
      <c r="P267" s="18">
        <v>1.9786910197869102E-4</v>
      </c>
      <c r="Q267" s="16">
        <v>1.5384615384615385E-3</v>
      </c>
      <c r="R267" s="13">
        <f>IF(Marketing!$L267=0, 0, Marketing!$M267/Marketing!$L267)</f>
        <v>4981</v>
      </c>
      <c r="S267" s="13">
        <f>IF(Marketing!$J267=0,0,Marketing!$I267/Marketing!$J267)</f>
        <v>15.764079147640791</v>
      </c>
      <c r="T267" s="13">
        <f>IF(Marketing!$K267=0,0,Marketing!$I267/Marketing!$K267)</f>
        <v>796.69230769230774</v>
      </c>
      <c r="U267" s="13">
        <f>Marketing!$M267 - Marketing!$I267</f>
        <v>-395</v>
      </c>
      <c r="V267" s="13">
        <f>IF(Marketing!$L267=0,0,Marketing!$I267/Marketing!$L267)</f>
        <v>5178.5</v>
      </c>
      <c r="W267" s="7" t="str">
        <f>IF(ISNUMBER(SEARCH("tier1",Marketing!$E267)),"Tier 1","Tier 2")</f>
        <v>Tier 2</v>
      </c>
      <c r="X267" s="7" t="str">
        <f t="shared" si="4"/>
        <v>Tier 2</v>
      </c>
      <c r="Y267" s="7" t="str">
        <f>IF(WEEKDAY(Marketing!$D267,2)&lt;6,"Weekday","Weekend")</f>
        <v>Weekday</v>
      </c>
    </row>
    <row r="268" spans="1:25" x14ac:dyDescent="0.35">
      <c r="A268" s="5">
        <v>267</v>
      </c>
      <c r="B268" s="5" t="str">
        <f>TEXT(Marketing!$D268,"MMMM")</f>
        <v>February</v>
      </c>
      <c r="C268" s="5" t="str">
        <f>TEXT(Marketing!$D268,"DDDD")</f>
        <v>Thursday</v>
      </c>
      <c r="D268" s="6">
        <v>44252</v>
      </c>
      <c r="E268" s="5" t="s">
        <v>3</v>
      </c>
      <c r="F268" s="5" t="s">
        <v>4</v>
      </c>
      <c r="G268" s="5">
        <v>89459845</v>
      </c>
      <c r="H268" s="5">
        <v>8750</v>
      </c>
      <c r="I268" s="12">
        <v>1078.73</v>
      </c>
      <c r="J268" s="5">
        <v>175</v>
      </c>
      <c r="K268" s="5">
        <v>1</v>
      </c>
      <c r="L268" s="5">
        <v>0</v>
      </c>
      <c r="M268" s="12">
        <v>0</v>
      </c>
      <c r="N268" s="14">
        <v>-0.01</v>
      </c>
      <c r="O268" s="16">
        <v>2.0000000000000001E-4</v>
      </c>
      <c r="P268" s="18">
        <v>5.7142857142857142E-5</v>
      </c>
      <c r="Q268" s="16">
        <v>0</v>
      </c>
      <c r="R268" s="12">
        <f>IF(Marketing!$L268=0, 0, Marketing!$M268/Marketing!$L268)</f>
        <v>0</v>
      </c>
      <c r="S268" s="12">
        <f>IF(Marketing!$J268=0,0,Marketing!$I268/Marketing!$J268)</f>
        <v>6.1641714285714286</v>
      </c>
      <c r="T268" s="12">
        <f>IF(Marketing!$K268=0,0,Marketing!$I268/Marketing!$K268)</f>
        <v>1078.73</v>
      </c>
      <c r="U268" s="12">
        <f>Marketing!$M268 - Marketing!$I268</f>
        <v>-1078.73</v>
      </c>
      <c r="V268" s="12">
        <f>IF(Marketing!$L268=0,0,Marketing!$I268/Marketing!$L268)</f>
        <v>0</v>
      </c>
      <c r="W268" s="5" t="str">
        <f>IF(ISNUMBER(SEARCH("tier1",Marketing!$E268)),"Tier 1","Tier 2")</f>
        <v>Tier 2</v>
      </c>
      <c r="X268" s="5" t="str">
        <f t="shared" si="4"/>
        <v>Tier 2</v>
      </c>
      <c r="Y268" s="5" t="str">
        <f>IF(WEEKDAY(Marketing!$D268,2)&lt;6,"Weekday","Weekend")</f>
        <v>Weekday</v>
      </c>
    </row>
    <row r="269" spans="1:25" x14ac:dyDescent="0.35">
      <c r="A269" s="7">
        <v>268</v>
      </c>
      <c r="B269" s="7" t="str">
        <f>TEXT(Marketing!$D269,"MMMM")</f>
        <v>February</v>
      </c>
      <c r="C269" s="7" t="str">
        <f>TEXT(Marketing!$D269,"DDDD")</f>
        <v>Thursday</v>
      </c>
      <c r="D269" s="8">
        <v>44252</v>
      </c>
      <c r="E269" s="7" t="s">
        <v>5</v>
      </c>
      <c r="F269" s="7" t="s">
        <v>4</v>
      </c>
      <c r="G269" s="7">
        <v>127823</v>
      </c>
      <c r="H269" s="7">
        <v>61867</v>
      </c>
      <c r="I269" s="13">
        <v>9472.2199999999993</v>
      </c>
      <c r="J269" s="7">
        <v>487</v>
      </c>
      <c r="K269" s="7">
        <v>19</v>
      </c>
      <c r="L269" s="7">
        <v>2</v>
      </c>
      <c r="M269" s="13">
        <v>5730</v>
      </c>
      <c r="N269" s="15">
        <v>-3.9507317186467375E-3</v>
      </c>
      <c r="O269" s="16">
        <v>7.8717248290688084E-5</v>
      </c>
      <c r="P269" s="18">
        <v>3.9014373716632448E-4</v>
      </c>
      <c r="Q269" s="16">
        <v>1.0526315789473684E-3</v>
      </c>
      <c r="R269" s="13">
        <f>IF(Marketing!$L269=0, 0, Marketing!$M269/Marketing!$L269)</f>
        <v>2865</v>
      </c>
      <c r="S269" s="13">
        <f>IF(Marketing!$J269=0,0,Marketing!$I269/Marketing!$J269)</f>
        <v>19.450143737166322</v>
      </c>
      <c r="T269" s="13">
        <f>IF(Marketing!$K269=0,0,Marketing!$I269/Marketing!$K269)</f>
        <v>498.53789473684208</v>
      </c>
      <c r="U269" s="13">
        <f>Marketing!$M269 - Marketing!$I269</f>
        <v>-3742.2199999999993</v>
      </c>
      <c r="V269" s="13">
        <f>IF(Marketing!$L269=0,0,Marketing!$I269/Marketing!$L269)</f>
        <v>4736.1099999999997</v>
      </c>
      <c r="W269" s="7" t="str">
        <f>IF(ISNUMBER(SEARCH("tier1",Marketing!$E269)),"Tier 1","Tier 2")</f>
        <v>Tier 2</v>
      </c>
      <c r="X269" s="7" t="str">
        <f t="shared" si="4"/>
        <v>Tier 2</v>
      </c>
      <c r="Y269" s="7" t="str">
        <f>IF(WEEKDAY(Marketing!$D269,2)&lt;6,"Weekday","Weekend")</f>
        <v>Weekday</v>
      </c>
    </row>
    <row r="270" spans="1:25" x14ac:dyDescent="0.35">
      <c r="A270" s="5">
        <v>269</v>
      </c>
      <c r="B270" s="5" t="str">
        <f>TEXT(Marketing!$D270,"MMMM")</f>
        <v>February</v>
      </c>
      <c r="C270" s="5" t="str">
        <f>TEXT(Marketing!$D270,"DDDD")</f>
        <v>Thursday</v>
      </c>
      <c r="D270" s="6">
        <v>44252</v>
      </c>
      <c r="E270" s="5" t="s">
        <v>6</v>
      </c>
      <c r="F270" s="5" t="s">
        <v>7</v>
      </c>
      <c r="G270" s="5">
        <v>10934</v>
      </c>
      <c r="H270" s="5">
        <v>94976</v>
      </c>
      <c r="I270" s="12">
        <v>9034.91</v>
      </c>
      <c r="J270" s="5">
        <v>904</v>
      </c>
      <c r="K270" s="5">
        <v>22</v>
      </c>
      <c r="L270" s="5">
        <v>5</v>
      </c>
      <c r="M270" s="12">
        <v>38030</v>
      </c>
      <c r="N270" s="14">
        <v>3.2092284261824415E-2</v>
      </c>
      <c r="O270" s="16">
        <v>9.5181940700808613E-5</v>
      </c>
      <c r="P270" s="18">
        <v>2.4336283185840709E-4</v>
      </c>
      <c r="Q270" s="16">
        <v>2.2727272727272726E-3</v>
      </c>
      <c r="R270" s="12">
        <f>IF(Marketing!$L270=0, 0, Marketing!$M270/Marketing!$L270)</f>
        <v>7606</v>
      </c>
      <c r="S270" s="12">
        <f>IF(Marketing!$J270=0,0,Marketing!$I270/Marketing!$J270)</f>
        <v>9.9943694690265481</v>
      </c>
      <c r="T270" s="12">
        <f>IF(Marketing!$K270=0,0,Marketing!$I270/Marketing!$K270)</f>
        <v>410.67772727272728</v>
      </c>
      <c r="U270" s="12">
        <f>Marketing!$M270 - Marketing!$I270</f>
        <v>28995.09</v>
      </c>
      <c r="V270" s="12">
        <f>IF(Marketing!$L270=0,0,Marketing!$I270/Marketing!$L270)</f>
        <v>1806.982</v>
      </c>
      <c r="W270" s="5" t="str">
        <f>IF(ISNUMBER(SEARCH("tier1",Marketing!$E270)),"Tier 1","Tier 2")</f>
        <v>Tier 2</v>
      </c>
      <c r="X270" s="5" t="str">
        <f t="shared" si="4"/>
        <v>Tier 2</v>
      </c>
      <c r="Y270" s="5" t="str">
        <f>IF(WEEKDAY(Marketing!$D270,2)&lt;6,"Weekday","Weekend")</f>
        <v>Weekday</v>
      </c>
    </row>
    <row r="271" spans="1:25" x14ac:dyDescent="0.35">
      <c r="A271" s="7">
        <v>270</v>
      </c>
      <c r="B271" s="7" t="str">
        <f>TEXT(Marketing!$D271,"MMMM")</f>
        <v>February</v>
      </c>
      <c r="C271" s="7" t="str">
        <f>TEXT(Marketing!$D271,"DDDD")</f>
        <v>Thursday</v>
      </c>
      <c r="D271" s="8">
        <v>44252</v>
      </c>
      <c r="E271" s="7" t="s">
        <v>8</v>
      </c>
      <c r="F271" s="7" t="s">
        <v>2</v>
      </c>
      <c r="G271" s="7">
        <v>9034945</v>
      </c>
      <c r="H271" s="7">
        <v>106000</v>
      </c>
      <c r="I271" s="13">
        <v>2304.0100000000002</v>
      </c>
      <c r="J271" s="7">
        <v>530</v>
      </c>
      <c r="K271" s="7">
        <v>6</v>
      </c>
      <c r="L271" s="7">
        <v>1</v>
      </c>
      <c r="M271" s="13">
        <v>5981</v>
      </c>
      <c r="N271" s="15">
        <v>1.5959088719232989E-2</v>
      </c>
      <c r="O271" s="16">
        <v>5.0000000000000002E-5</v>
      </c>
      <c r="P271" s="18">
        <v>1.1320754716981131E-4</v>
      </c>
      <c r="Q271" s="16">
        <v>1.6666666666666666E-3</v>
      </c>
      <c r="R271" s="13">
        <f>IF(Marketing!$L271=0, 0, Marketing!$M271/Marketing!$L271)</f>
        <v>5981</v>
      </c>
      <c r="S271" s="13">
        <f>IF(Marketing!$J271=0,0,Marketing!$I271/Marketing!$J271)</f>
        <v>4.3471886792452832</v>
      </c>
      <c r="T271" s="13">
        <f>IF(Marketing!$K271=0,0,Marketing!$I271/Marketing!$K271)</f>
        <v>384.00166666666672</v>
      </c>
      <c r="U271" s="13">
        <f>Marketing!$M271 - Marketing!$I271</f>
        <v>3676.99</v>
      </c>
      <c r="V271" s="13">
        <f>IF(Marketing!$L271=0,0,Marketing!$I271/Marketing!$L271)</f>
        <v>2304.0100000000002</v>
      </c>
      <c r="W271" s="7" t="str">
        <f>IF(ISNUMBER(SEARCH("tier1",Marketing!$E271)),"Tier 1","Tier 2")</f>
        <v>Tier 1</v>
      </c>
      <c r="X271" s="7" t="str">
        <f t="shared" si="4"/>
        <v>Tier 1</v>
      </c>
      <c r="Y271" s="7" t="str">
        <f>IF(WEEKDAY(Marketing!$D271,2)&lt;6,"Weekday","Weekend")</f>
        <v>Weekday</v>
      </c>
    </row>
    <row r="272" spans="1:25" x14ac:dyDescent="0.35">
      <c r="A272" s="5">
        <v>271</v>
      </c>
      <c r="B272" s="5" t="str">
        <f>TEXT(Marketing!$D272,"MMMM")</f>
        <v>February</v>
      </c>
      <c r="C272" s="5" t="str">
        <f>TEXT(Marketing!$D272,"DDDD")</f>
        <v>Thursday</v>
      </c>
      <c r="D272" s="6">
        <v>44252</v>
      </c>
      <c r="E272" s="5" t="s">
        <v>9</v>
      </c>
      <c r="F272" s="5" t="s">
        <v>2</v>
      </c>
      <c r="G272" s="5">
        <v>983498</v>
      </c>
      <c r="H272" s="5">
        <v>115468</v>
      </c>
      <c r="I272" s="12">
        <v>2059.0300000000002</v>
      </c>
      <c r="J272" s="5">
        <v>1015</v>
      </c>
      <c r="K272" s="5">
        <v>20</v>
      </c>
      <c r="L272" s="5">
        <v>1</v>
      </c>
      <c r="M272" s="12">
        <v>1981</v>
      </c>
      <c r="N272" s="14">
        <v>-3.7896485238194777E-4</v>
      </c>
      <c r="O272" s="16">
        <v>8.7903141996050851E-5</v>
      </c>
      <c r="P272" s="18">
        <v>1.9704433497536947E-4</v>
      </c>
      <c r="Q272" s="16">
        <v>5.0000000000000001E-4</v>
      </c>
      <c r="R272" s="12">
        <f>IF(Marketing!$L272=0, 0, Marketing!$M272/Marketing!$L272)</f>
        <v>1981</v>
      </c>
      <c r="S272" s="12">
        <f>IF(Marketing!$J272=0,0,Marketing!$I272/Marketing!$J272)</f>
        <v>2.0286009852216749</v>
      </c>
      <c r="T272" s="12">
        <f>IF(Marketing!$K272=0,0,Marketing!$I272/Marketing!$K272)</f>
        <v>102.95150000000001</v>
      </c>
      <c r="U272" s="12">
        <f>Marketing!$M272 - Marketing!$I272</f>
        <v>-78.0300000000002</v>
      </c>
      <c r="V272" s="12">
        <f>IF(Marketing!$L272=0,0,Marketing!$I272/Marketing!$L272)</f>
        <v>2059.0300000000002</v>
      </c>
      <c r="W272" s="5" t="str">
        <f>IF(ISNUMBER(SEARCH("tier1",Marketing!$E272)),"Tier 1","Tier 2")</f>
        <v>Tier 2</v>
      </c>
      <c r="X272" s="5" t="str">
        <f t="shared" si="4"/>
        <v>Tier 2</v>
      </c>
      <c r="Y272" s="5" t="str">
        <f>IF(WEEKDAY(Marketing!$D272,2)&lt;6,"Weekday","Weekend")</f>
        <v>Weekday</v>
      </c>
    </row>
    <row r="273" spans="1:25" x14ac:dyDescent="0.35">
      <c r="A273" s="7">
        <v>272</v>
      </c>
      <c r="B273" s="7" t="str">
        <f>TEXT(Marketing!$D273,"MMMM")</f>
        <v>February</v>
      </c>
      <c r="C273" s="7" t="str">
        <f>TEXT(Marketing!$D273,"DDDD")</f>
        <v>Thursday</v>
      </c>
      <c r="D273" s="8">
        <v>44252</v>
      </c>
      <c r="E273" s="7" t="s">
        <v>10</v>
      </c>
      <c r="F273" s="7" t="s">
        <v>2</v>
      </c>
      <c r="G273" s="7">
        <v>4387490</v>
      </c>
      <c r="H273" s="7">
        <v>2214</v>
      </c>
      <c r="I273" s="13">
        <v>1487.47</v>
      </c>
      <c r="J273" s="7">
        <v>66</v>
      </c>
      <c r="K273" s="7">
        <v>3</v>
      </c>
      <c r="L273" s="7">
        <v>1</v>
      </c>
      <c r="M273" s="13">
        <v>4461</v>
      </c>
      <c r="N273" s="15">
        <v>1.9990520817226565E-2</v>
      </c>
      <c r="O273" s="16">
        <v>2.981029810298103E-4</v>
      </c>
      <c r="P273" s="18">
        <v>4.5454545454545455E-4</v>
      </c>
      <c r="Q273" s="16">
        <v>3.3333333333333331E-3</v>
      </c>
      <c r="R273" s="13">
        <f>IF(Marketing!$L273=0, 0, Marketing!$M273/Marketing!$L273)</f>
        <v>4461</v>
      </c>
      <c r="S273" s="13">
        <f>IF(Marketing!$J273=0,0,Marketing!$I273/Marketing!$J273)</f>
        <v>22.537424242424244</v>
      </c>
      <c r="T273" s="13">
        <f>IF(Marketing!$K273=0,0,Marketing!$I273/Marketing!$K273)</f>
        <v>495.82333333333332</v>
      </c>
      <c r="U273" s="13">
        <f>Marketing!$M273 - Marketing!$I273</f>
        <v>2973.5299999999997</v>
      </c>
      <c r="V273" s="13">
        <f>IF(Marketing!$L273=0,0,Marketing!$I273/Marketing!$L273)</f>
        <v>1487.47</v>
      </c>
      <c r="W273" s="7" t="str">
        <f>IF(ISNUMBER(SEARCH("tier1",Marketing!$E273)),"Tier 1","Tier 2")</f>
        <v>Tier 2</v>
      </c>
      <c r="X273" s="7" t="str">
        <f t="shared" si="4"/>
        <v>Tier 2</v>
      </c>
      <c r="Y273" s="7" t="str">
        <f>IF(WEEKDAY(Marketing!$D273,2)&lt;6,"Weekday","Weekend")</f>
        <v>Weekday</v>
      </c>
    </row>
    <row r="274" spans="1:25" x14ac:dyDescent="0.35">
      <c r="A274" s="5">
        <v>273</v>
      </c>
      <c r="B274" s="5" t="str">
        <f>TEXT(Marketing!$D274,"MMMM")</f>
        <v>February</v>
      </c>
      <c r="C274" s="5" t="str">
        <f>TEXT(Marketing!$D274,"DDDD")</f>
        <v>Thursday</v>
      </c>
      <c r="D274" s="6">
        <v>44252</v>
      </c>
      <c r="E274" s="5" t="s">
        <v>11</v>
      </c>
      <c r="F274" s="5" t="s">
        <v>2</v>
      </c>
      <c r="G274" s="5">
        <v>544756</v>
      </c>
      <c r="H274" s="5">
        <v>25000</v>
      </c>
      <c r="I274" s="12">
        <v>5871.29</v>
      </c>
      <c r="J274" s="5">
        <v>250</v>
      </c>
      <c r="K274" s="5">
        <v>5</v>
      </c>
      <c r="L274" s="5">
        <v>1</v>
      </c>
      <c r="M274" s="12">
        <v>981</v>
      </c>
      <c r="N274" s="14">
        <v>-8.3291576467863122E-3</v>
      </c>
      <c r="O274" s="16">
        <v>1E-4</v>
      </c>
      <c r="P274" s="18">
        <v>2.0000000000000001E-4</v>
      </c>
      <c r="Q274" s="16">
        <v>2E-3</v>
      </c>
      <c r="R274" s="12">
        <f>IF(Marketing!$L274=0, 0, Marketing!$M274/Marketing!$L274)</f>
        <v>981</v>
      </c>
      <c r="S274" s="12">
        <f>IF(Marketing!$J274=0,0,Marketing!$I274/Marketing!$J274)</f>
        <v>23.48516</v>
      </c>
      <c r="T274" s="12">
        <f>IF(Marketing!$K274=0,0,Marketing!$I274/Marketing!$K274)</f>
        <v>1174.258</v>
      </c>
      <c r="U274" s="12">
        <f>Marketing!$M274 - Marketing!$I274</f>
        <v>-4890.29</v>
      </c>
      <c r="V274" s="12">
        <f>IF(Marketing!$L274=0,0,Marketing!$I274/Marketing!$L274)</f>
        <v>5871.29</v>
      </c>
      <c r="W274" s="5" t="str">
        <f>IF(ISNUMBER(SEARCH("tier1",Marketing!$E274)),"Tier 1","Tier 2")</f>
        <v>Tier 2</v>
      </c>
      <c r="X274" s="5" t="str">
        <f t="shared" si="4"/>
        <v>Tier 2</v>
      </c>
      <c r="Y274" s="5" t="str">
        <f>IF(WEEKDAY(Marketing!$D274,2)&lt;6,"Weekday","Weekend")</f>
        <v>Weekday</v>
      </c>
    </row>
    <row r="275" spans="1:25" x14ac:dyDescent="0.35">
      <c r="A275" s="7">
        <v>274</v>
      </c>
      <c r="B275" s="7" t="str">
        <f>TEXT(Marketing!$D275,"MMMM")</f>
        <v>February</v>
      </c>
      <c r="C275" s="7" t="str">
        <f>TEXT(Marketing!$D275,"DDDD")</f>
        <v>Thursday</v>
      </c>
      <c r="D275" s="8">
        <v>44252</v>
      </c>
      <c r="E275" s="7" t="s">
        <v>12</v>
      </c>
      <c r="F275" s="7" t="s">
        <v>7</v>
      </c>
      <c r="G275" s="7">
        <v>374754</v>
      </c>
      <c r="H275" s="7">
        <v>46753</v>
      </c>
      <c r="I275" s="13">
        <v>6227.53</v>
      </c>
      <c r="J275" s="7">
        <v>591</v>
      </c>
      <c r="K275" s="7">
        <v>12</v>
      </c>
      <c r="L275" s="7">
        <v>2</v>
      </c>
      <c r="M275" s="13">
        <v>10130</v>
      </c>
      <c r="N275" s="15">
        <v>6.2664812534022315E-3</v>
      </c>
      <c r="O275" s="16">
        <v>1.2640900049194705E-4</v>
      </c>
      <c r="P275" s="18">
        <v>2.0304568527918781E-4</v>
      </c>
      <c r="Q275" s="16">
        <v>1.6666666666666666E-3</v>
      </c>
      <c r="R275" s="13">
        <f>IF(Marketing!$L275=0, 0, Marketing!$M275/Marketing!$L275)</f>
        <v>5065</v>
      </c>
      <c r="S275" s="13">
        <f>IF(Marketing!$J275=0,0,Marketing!$I275/Marketing!$J275)</f>
        <v>10.537275803722503</v>
      </c>
      <c r="T275" s="13">
        <f>IF(Marketing!$K275=0,0,Marketing!$I275/Marketing!$K275)</f>
        <v>518.96083333333331</v>
      </c>
      <c r="U275" s="13">
        <f>Marketing!$M275 - Marketing!$I275</f>
        <v>3902.4700000000003</v>
      </c>
      <c r="V275" s="13">
        <f>IF(Marketing!$L275=0,0,Marketing!$I275/Marketing!$L275)</f>
        <v>3113.7649999999999</v>
      </c>
      <c r="W275" s="7" t="str">
        <f>IF(ISNUMBER(SEARCH("tier1",Marketing!$E275)),"Tier 1","Tier 2")</f>
        <v>Tier 2</v>
      </c>
      <c r="X275" s="7" t="str">
        <f t="shared" si="4"/>
        <v>Tier 2</v>
      </c>
      <c r="Y275" s="7" t="str">
        <f>IF(WEEKDAY(Marketing!$D275,2)&lt;6,"Weekday","Weekend")</f>
        <v>Weekday</v>
      </c>
    </row>
    <row r="276" spans="1:25" x14ac:dyDescent="0.35">
      <c r="A276" s="5">
        <v>275</v>
      </c>
      <c r="B276" s="5" t="str">
        <f>TEXT(Marketing!$D276,"MMMM")</f>
        <v>February</v>
      </c>
      <c r="C276" s="5" t="str">
        <f>TEXT(Marketing!$D276,"DDDD")</f>
        <v>Thursday</v>
      </c>
      <c r="D276" s="6">
        <v>44252</v>
      </c>
      <c r="E276" s="5" t="s">
        <v>13</v>
      </c>
      <c r="F276" s="5" t="s">
        <v>14</v>
      </c>
      <c r="G276" s="5">
        <v>39889</v>
      </c>
      <c r="H276" s="5">
        <v>2885291</v>
      </c>
      <c r="I276" s="12">
        <v>7583.66</v>
      </c>
      <c r="J276" s="5">
        <v>848</v>
      </c>
      <c r="K276" s="5">
        <v>17</v>
      </c>
      <c r="L276" s="5">
        <v>3</v>
      </c>
      <c r="M276" s="12">
        <v>11943</v>
      </c>
      <c r="N276" s="14">
        <v>5.7483325992990194E-3</v>
      </c>
      <c r="O276" s="16">
        <v>2.9390449698141364E-6</v>
      </c>
      <c r="P276" s="18">
        <v>2.0047169811320754E-4</v>
      </c>
      <c r="Q276" s="16">
        <v>1.7647058823529412E-3</v>
      </c>
      <c r="R276" s="12">
        <f>IF(Marketing!$L276=0, 0, Marketing!$M276/Marketing!$L276)</f>
        <v>3981</v>
      </c>
      <c r="S276" s="12">
        <f>IF(Marketing!$J276=0,0,Marketing!$I276/Marketing!$J276)</f>
        <v>8.9429952830188686</v>
      </c>
      <c r="T276" s="12">
        <f>IF(Marketing!$K276=0,0,Marketing!$I276/Marketing!$K276)</f>
        <v>446.0976470588235</v>
      </c>
      <c r="U276" s="12">
        <f>Marketing!$M276 - Marketing!$I276</f>
        <v>4359.34</v>
      </c>
      <c r="V276" s="12">
        <f>IF(Marketing!$L276=0,0,Marketing!$I276/Marketing!$L276)</f>
        <v>2527.8866666666668</v>
      </c>
      <c r="W276" s="5" t="str">
        <f>IF(ISNUMBER(SEARCH("tier1",Marketing!$E276)),"Tier 1","Tier 2")</f>
        <v>Tier 2</v>
      </c>
      <c r="X276" s="5" t="str">
        <f t="shared" si="4"/>
        <v>Tier 2</v>
      </c>
      <c r="Y276" s="5" t="str">
        <f>IF(WEEKDAY(Marketing!$D276,2)&lt;6,"Weekday","Weekend")</f>
        <v>Weekday</v>
      </c>
    </row>
    <row r="277" spans="1:25" x14ac:dyDescent="0.35">
      <c r="A277" s="7">
        <v>276</v>
      </c>
      <c r="B277" s="7" t="str">
        <f>TEXT(Marketing!$D277,"MMMM")</f>
        <v>February</v>
      </c>
      <c r="C277" s="7" t="str">
        <f>TEXT(Marketing!$D277,"DDDD")</f>
        <v>Friday</v>
      </c>
      <c r="D277" s="8">
        <v>44253</v>
      </c>
      <c r="E277" s="7" t="s">
        <v>1</v>
      </c>
      <c r="F277" s="7" t="s">
        <v>2</v>
      </c>
      <c r="G277" s="7">
        <v>349043</v>
      </c>
      <c r="H277" s="7">
        <v>168408</v>
      </c>
      <c r="I277" s="13">
        <v>19887.7</v>
      </c>
      <c r="J277" s="7">
        <v>1207</v>
      </c>
      <c r="K277" s="7">
        <v>39</v>
      </c>
      <c r="L277" s="7">
        <v>4</v>
      </c>
      <c r="M277" s="13">
        <v>22488</v>
      </c>
      <c r="N277" s="15">
        <v>1.3074915651382509E-3</v>
      </c>
      <c r="O277" s="16">
        <v>7.167117951641253E-5</v>
      </c>
      <c r="P277" s="18">
        <v>3.231151615575808E-4</v>
      </c>
      <c r="Q277" s="16">
        <v>1.0256410256410256E-3</v>
      </c>
      <c r="R277" s="13">
        <f>IF(Marketing!$L277=0, 0, Marketing!$M277/Marketing!$L277)</f>
        <v>5622</v>
      </c>
      <c r="S277" s="13">
        <f>IF(Marketing!$J277=0,0,Marketing!$I277/Marketing!$J277)</f>
        <v>16.476967688483846</v>
      </c>
      <c r="T277" s="13">
        <f>IF(Marketing!$K277=0,0,Marketing!$I277/Marketing!$K277)</f>
        <v>509.94102564102565</v>
      </c>
      <c r="U277" s="13">
        <f>Marketing!$M277 - Marketing!$I277</f>
        <v>2600.2999999999993</v>
      </c>
      <c r="V277" s="13">
        <f>IF(Marketing!$L277=0,0,Marketing!$I277/Marketing!$L277)</f>
        <v>4971.9250000000002</v>
      </c>
      <c r="W277" s="7" t="str">
        <f>IF(ISNUMBER(SEARCH("tier1",Marketing!$E277)),"Tier 1","Tier 2")</f>
        <v>Tier 1</v>
      </c>
      <c r="X277" s="7" t="str">
        <f t="shared" si="4"/>
        <v>Tier 1</v>
      </c>
      <c r="Y277" s="7" t="str">
        <f>IF(WEEKDAY(Marketing!$D277,2)&lt;6,"Weekday","Weekend")</f>
        <v>Weekday</v>
      </c>
    </row>
    <row r="278" spans="1:25" x14ac:dyDescent="0.35">
      <c r="A278" s="5">
        <v>277</v>
      </c>
      <c r="B278" s="5" t="str">
        <f>TEXT(Marketing!$D278,"MMMM")</f>
        <v>February</v>
      </c>
      <c r="C278" s="5" t="str">
        <f>TEXT(Marketing!$D278,"DDDD")</f>
        <v>Friday</v>
      </c>
      <c r="D278" s="6">
        <v>44253</v>
      </c>
      <c r="E278" s="7" t="s">
        <v>67</v>
      </c>
      <c r="F278" s="5" t="s">
        <v>2</v>
      </c>
      <c r="G278" s="5">
        <v>348934</v>
      </c>
      <c r="H278" s="5">
        <v>438858</v>
      </c>
      <c r="I278" s="12">
        <v>17935.400000000001</v>
      </c>
      <c r="J278" s="5">
        <v>1657</v>
      </c>
      <c r="K278" s="5">
        <v>33</v>
      </c>
      <c r="L278" s="5">
        <v>3</v>
      </c>
      <c r="M278" s="12">
        <v>15345</v>
      </c>
      <c r="N278" s="14">
        <v>-1.444294523679428E-3</v>
      </c>
      <c r="O278" s="16">
        <v>3.7757087714021394E-5</v>
      </c>
      <c r="P278" s="18">
        <v>1.9915509957754978E-4</v>
      </c>
      <c r="Q278" s="16">
        <v>9.0909090909090909E-4</v>
      </c>
      <c r="R278" s="12">
        <f>IF(Marketing!$L278=0, 0, Marketing!$M278/Marketing!$L278)</f>
        <v>5115</v>
      </c>
      <c r="S278" s="12">
        <f>IF(Marketing!$J278=0,0,Marketing!$I278/Marketing!$J278)</f>
        <v>10.824019312009657</v>
      </c>
      <c r="T278" s="12">
        <f>IF(Marketing!$K278=0,0,Marketing!$I278/Marketing!$K278)</f>
        <v>543.4969696969697</v>
      </c>
      <c r="U278" s="12">
        <f>Marketing!$M278 - Marketing!$I278</f>
        <v>-2590.4000000000015</v>
      </c>
      <c r="V278" s="12">
        <f>IF(Marketing!$L278=0,0,Marketing!$I278/Marketing!$L278)</f>
        <v>5978.4666666666672</v>
      </c>
      <c r="W278" s="5" t="str">
        <f>IF(ISNUMBER(SEARCH("tier1",Marketing!$E278)),"Tier 1","Tier 2")</f>
        <v>Tier 2</v>
      </c>
      <c r="X278" s="5" t="str">
        <f t="shared" si="4"/>
        <v>Tier 2</v>
      </c>
      <c r="Y278" s="5" t="str">
        <f>IF(WEEKDAY(Marketing!$D278,2)&lt;6,"Weekday","Weekend")</f>
        <v>Weekday</v>
      </c>
    </row>
    <row r="279" spans="1:25" x14ac:dyDescent="0.35">
      <c r="A279" s="7">
        <v>278</v>
      </c>
      <c r="B279" s="7" t="str">
        <f>TEXT(Marketing!$D279,"MMMM")</f>
        <v>February</v>
      </c>
      <c r="C279" s="7" t="str">
        <f>TEXT(Marketing!$D279,"DDDD")</f>
        <v>Friday</v>
      </c>
      <c r="D279" s="8">
        <v>44253</v>
      </c>
      <c r="E279" s="7" t="s">
        <v>3</v>
      </c>
      <c r="F279" s="7" t="s">
        <v>4</v>
      </c>
      <c r="G279" s="7">
        <v>89459845</v>
      </c>
      <c r="H279" s="7">
        <v>22450</v>
      </c>
      <c r="I279" s="13">
        <v>1545.74</v>
      </c>
      <c r="J279" s="7">
        <v>449</v>
      </c>
      <c r="K279" s="7">
        <v>2</v>
      </c>
      <c r="L279" s="7">
        <v>0</v>
      </c>
      <c r="M279" s="13">
        <v>0</v>
      </c>
      <c r="N279" s="15">
        <v>-0.01</v>
      </c>
      <c r="O279" s="16">
        <v>2.0000000000000001E-4</v>
      </c>
      <c r="P279" s="18">
        <v>4.4543429844097995E-5</v>
      </c>
      <c r="Q279" s="16">
        <v>0</v>
      </c>
      <c r="R279" s="13">
        <f>IF(Marketing!$L279=0, 0, Marketing!$M279/Marketing!$L279)</f>
        <v>0</v>
      </c>
      <c r="S279" s="13">
        <f>IF(Marketing!$J279=0,0,Marketing!$I279/Marketing!$J279)</f>
        <v>3.4426280623608019</v>
      </c>
      <c r="T279" s="13">
        <f>IF(Marketing!$K279=0,0,Marketing!$I279/Marketing!$K279)</f>
        <v>772.87</v>
      </c>
      <c r="U279" s="13">
        <f>Marketing!$M279 - Marketing!$I279</f>
        <v>-1545.74</v>
      </c>
      <c r="V279" s="13">
        <f>IF(Marketing!$L279=0,0,Marketing!$I279/Marketing!$L279)</f>
        <v>0</v>
      </c>
      <c r="W279" s="7" t="str">
        <f>IF(ISNUMBER(SEARCH("tier1",Marketing!$E279)),"Tier 1","Tier 2")</f>
        <v>Tier 2</v>
      </c>
      <c r="X279" s="7" t="str">
        <f t="shared" si="4"/>
        <v>Tier 2</v>
      </c>
      <c r="Y279" s="7" t="str">
        <f>IF(WEEKDAY(Marketing!$D279,2)&lt;6,"Weekday","Weekend")</f>
        <v>Weekday</v>
      </c>
    </row>
    <row r="280" spans="1:25" x14ac:dyDescent="0.35">
      <c r="A280" s="5">
        <v>279</v>
      </c>
      <c r="B280" s="5" t="str">
        <f>TEXT(Marketing!$D280,"MMMM")</f>
        <v>February</v>
      </c>
      <c r="C280" s="5" t="str">
        <f>TEXT(Marketing!$D280,"DDDD")</f>
        <v>Friday</v>
      </c>
      <c r="D280" s="6">
        <v>44253</v>
      </c>
      <c r="E280" s="5" t="s">
        <v>5</v>
      </c>
      <c r="F280" s="5" t="s">
        <v>4</v>
      </c>
      <c r="G280" s="5">
        <v>127823</v>
      </c>
      <c r="H280" s="5">
        <v>240600</v>
      </c>
      <c r="I280" s="12">
        <v>4453.1000000000004</v>
      </c>
      <c r="J280" s="5">
        <v>1203</v>
      </c>
      <c r="K280" s="5">
        <v>11</v>
      </c>
      <c r="L280" s="5">
        <v>1</v>
      </c>
      <c r="M280" s="12">
        <v>2283</v>
      </c>
      <c r="N280" s="14">
        <v>-4.8732343760526384E-3</v>
      </c>
      <c r="O280" s="16">
        <v>5.0000000000000002E-5</v>
      </c>
      <c r="P280" s="18">
        <v>9.1438071487946802E-5</v>
      </c>
      <c r="Q280" s="16">
        <v>9.0909090909090909E-4</v>
      </c>
      <c r="R280" s="12">
        <f>IF(Marketing!$L280=0, 0, Marketing!$M280/Marketing!$L280)</f>
        <v>2283</v>
      </c>
      <c r="S280" s="12">
        <f>IF(Marketing!$J280=0,0,Marketing!$I280/Marketing!$J280)</f>
        <v>3.7016625103906904</v>
      </c>
      <c r="T280" s="12">
        <f>IF(Marketing!$K280=0,0,Marketing!$I280/Marketing!$K280)</f>
        <v>404.82727272727277</v>
      </c>
      <c r="U280" s="12">
        <f>Marketing!$M280 - Marketing!$I280</f>
        <v>-2170.1000000000004</v>
      </c>
      <c r="V280" s="12">
        <f>IF(Marketing!$L280=0,0,Marketing!$I280/Marketing!$L280)</f>
        <v>4453.1000000000004</v>
      </c>
      <c r="W280" s="5" t="str">
        <f>IF(ISNUMBER(SEARCH("tier1",Marketing!$E280)),"Tier 1","Tier 2")</f>
        <v>Tier 2</v>
      </c>
      <c r="X280" s="5" t="str">
        <f t="shared" si="4"/>
        <v>Tier 2</v>
      </c>
      <c r="Y280" s="5" t="str">
        <f>IF(WEEKDAY(Marketing!$D280,2)&lt;6,"Weekday","Weekend")</f>
        <v>Weekday</v>
      </c>
    </row>
    <row r="281" spans="1:25" x14ac:dyDescent="0.35">
      <c r="A281" s="7">
        <v>280</v>
      </c>
      <c r="B281" s="7" t="str">
        <f>TEXT(Marketing!$D281,"MMMM")</f>
        <v>February</v>
      </c>
      <c r="C281" s="7" t="str">
        <f>TEXT(Marketing!$D281,"DDDD")</f>
        <v>Friday</v>
      </c>
      <c r="D281" s="8">
        <v>44253</v>
      </c>
      <c r="E281" s="7" t="s">
        <v>6</v>
      </c>
      <c r="F281" s="7" t="s">
        <v>7</v>
      </c>
      <c r="G281" s="7">
        <v>10934</v>
      </c>
      <c r="H281" s="7">
        <v>195016</v>
      </c>
      <c r="I281" s="13">
        <v>38804.199999999997</v>
      </c>
      <c r="J281" s="7">
        <v>2247</v>
      </c>
      <c r="K281" s="7">
        <v>82</v>
      </c>
      <c r="L281" s="7">
        <v>16</v>
      </c>
      <c r="M281" s="13">
        <v>127696</v>
      </c>
      <c r="N281" s="15">
        <v>2.2907778024028328E-2</v>
      </c>
      <c r="O281" s="16">
        <v>1.1522131517413955E-4</v>
      </c>
      <c r="P281" s="18">
        <v>3.6493101913662662E-4</v>
      </c>
      <c r="Q281" s="16">
        <v>1.9512195121951219E-3</v>
      </c>
      <c r="R281" s="13">
        <f>IF(Marketing!$L281=0, 0, Marketing!$M281/Marketing!$L281)</f>
        <v>7981</v>
      </c>
      <c r="S281" s="13">
        <f>IF(Marketing!$J281=0,0,Marketing!$I281/Marketing!$J281)</f>
        <v>17.269336893635959</v>
      </c>
      <c r="T281" s="13">
        <f>IF(Marketing!$K281=0,0,Marketing!$I281/Marketing!$K281)</f>
        <v>473.22195121951216</v>
      </c>
      <c r="U281" s="13">
        <f>Marketing!$M281 - Marketing!$I281</f>
        <v>88891.8</v>
      </c>
      <c r="V281" s="13">
        <f>IF(Marketing!$L281=0,0,Marketing!$I281/Marketing!$L281)</f>
        <v>2425.2624999999998</v>
      </c>
      <c r="W281" s="7" t="str">
        <f>IF(ISNUMBER(SEARCH("tier1",Marketing!$E281)),"Tier 1","Tier 2")</f>
        <v>Tier 2</v>
      </c>
      <c r="X281" s="7" t="str">
        <f t="shared" si="4"/>
        <v>Tier 2</v>
      </c>
      <c r="Y281" s="7" t="str">
        <f>IF(WEEKDAY(Marketing!$D281,2)&lt;6,"Weekday","Weekend")</f>
        <v>Weekday</v>
      </c>
    </row>
    <row r="282" spans="1:25" x14ac:dyDescent="0.35">
      <c r="A282" s="5">
        <v>281</v>
      </c>
      <c r="B282" s="5" t="str">
        <f>TEXT(Marketing!$D282,"MMMM")</f>
        <v>February</v>
      </c>
      <c r="C282" s="5" t="str">
        <f>TEXT(Marketing!$D282,"DDDD")</f>
        <v>Friday</v>
      </c>
      <c r="D282" s="6">
        <v>44253</v>
      </c>
      <c r="E282" s="5" t="s">
        <v>8</v>
      </c>
      <c r="F282" s="5" t="s">
        <v>2</v>
      </c>
      <c r="G282" s="5">
        <v>9034945</v>
      </c>
      <c r="H282" s="5">
        <v>174375</v>
      </c>
      <c r="I282" s="12">
        <v>12592.4</v>
      </c>
      <c r="J282" s="5">
        <v>1342</v>
      </c>
      <c r="K282" s="5">
        <v>27</v>
      </c>
      <c r="L282" s="5">
        <v>4</v>
      </c>
      <c r="M282" s="12">
        <v>26556</v>
      </c>
      <c r="N282" s="14">
        <v>1.1088910771576508E-2</v>
      </c>
      <c r="O282" s="16">
        <v>7.6960573476702508E-5</v>
      </c>
      <c r="P282" s="18">
        <v>2.0119225037257824E-4</v>
      </c>
      <c r="Q282" s="16">
        <v>1.4814814814814814E-3</v>
      </c>
      <c r="R282" s="12">
        <f>IF(Marketing!$L282=0, 0, Marketing!$M282/Marketing!$L282)</f>
        <v>6639</v>
      </c>
      <c r="S282" s="12">
        <f>IF(Marketing!$J282=0,0,Marketing!$I282/Marketing!$J282)</f>
        <v>9.3833084947839041</v>
      </c>
      <c r="T282" s="12">
        <f>IF(Marketing!$K282=0,0,Marketing!$I282/Marketing!$K282)</f>
        <v>466.38518518518515</v>
      </c>
      <c r="U282" s="12">
        <f>Marketing!$M282 - Marketing!$I282</f>
        <v>13963.6</v>
      </c>
      <c r="V282" s="12">
        <f>IF(Marketing!$L282=0,0,Marketing!$I282/Marketing!$L282)</f>
        <v>3148.1</v>
      </c>
      <c r="W282" s="5" t="str">
        <f>IF(ISNUMBER(SEARCH("tier1",Marketing!$E282)),"Tier 1","Tier 2")</f>
        <v>Tier 1</v>
      </c>
      <c r="X282" s="5" t="str">
        <f t="shared" si="4"/>
        <v>Tier 1</v>
      </c>
      <c r="Y282" s="5" t="str">
        <f>IF(WEEKDAY(Marketing!$D282,2)&lt;6,"Weekday","Weekend")</f>
        <v>Weekday</v>
      </c>
    </row>
    <row r="283" spans="1:25" x14ac:dyDescent="0.35">
      <c r="A283" s="7">
        <v>282</v>
      </c>
      <c r="B283" s="7" t="str">
        <f>TEXT(Marketing!$D283,"MMMM")</f>
        <v>February</v>
      </c>
      <c r="C283" s="7" t="str">
        <f>TEXT(Marketing!$D283,"DDDD")</f>
        <v>Friday</v>
      </c>
      <c r="D283" s="8">
        <v>44253</v>
      </c>
      <c r="E283" s="7" t="s">
        <v>9</v>
      </c>
      <c r="F283" s="7" t="s">
        <v>2</v>
      </c>
      <c r="G283" s="7">
        <v>983498</v>
      </c>
      <c r="H283" s="7">
        <v>508600</v>
      </c>
      <c r="I283" s="13">
        <v>2403.54</v>
      </c>
      <c r="J283" s="7">
        <v>2543</v>
      </c>
      <c r="K283" s="7">
        <v>73</v>
      </c>
      <c r="L283" s="7">
        <v>1</v>
      </c>
      <c r="M283" s="13">
        <v>1981</v>
      </c>
      <c r="N283" s="15">
        <v>-1.7579902976443079E-3</v>
      </c>
      <c r="O283" s="16">
        <v>5.0000000000000002E-5</v>
      </c>
      <c r="P283" s="18">
        <v>2.8706252457727093E-4</v>
      </c>
      <c r="Q283" s="16">
        <v>1.36986301369863E-4</v>
      </c>
      <c r="R283" s="13">
        <f>IF(Marketing!$L283=0, 0, Marketing!$M283/Marketing!$L283)</f>
        <v>1981</v>
      </c>
      <c r="S283" s="13">
        <f>IF(Marketing!$J283=0,0,Marketing!$I283/Marketing!$J283)</f>
        <v>0.94515926071569012</v>
      </c>
      <c r="T283" s="13">
        <f>IF(Marketing!$K283=0,0,Marketing!$I283/Marketing!$K283)</f>
        <v>32.925205479452053</v>
      </c>
      <c r="U283" s="13">
        <f>Marketing!$M283 - Marketing!$I283</f>
        <v>-422.53999999999996</v>
      </c>
      <c r="V283" s="13">
        <f>IF(Marketing!$L283=0,0,Marketing!$I283/Marketing!$L283)</f>
        <v>2403.54</v>
      </c>
      <c r="W283" s="7" t="str">
        <f>IF(ISNUMBER(SEARCH("tier1",Marketing!$E283)),"Tier 1","Tier 2")</f>
        <v>Tier 2</v>
      </c>
      <c r="X283" s="7" t="str">
        <f t="shared" si="4"/>
        <v>Tier 2</v>
      </c>
      <c r="Y283" s="7" t="str">
        <f>IF(WEEKDAY(Marketing!$D283,2)&lt;6,"Weekday","Weekend")</f>
        <v>Weekday</v>
      </c>
    </row>
    <row r="284" spans="1:25" x14ac:dyDescent="0.35">
      <c r="A284" s="5">
        <v>283</v>
      </c>
      <c r="B284" s="5" t="str">
        <f>TEXT(Marketing!$D284,"MMMM")</f>
        <v>February</v>
      </c>
      <c r="C284" s="5" t="str">
        <f>TEXT(Marketing!$D284,"DDDD")</f>
        <v>Friday</v>
      </c>
      <c r="D284" s="6">
        <v>44253</v>
      </c>
      <c r="E284" s="5" t="s">
        <v>10</v>
      </c>
      <c r="F284" s="5" t="s">
        <v>2</v>
      </c>
      <c r="G284" s="5">
        <v>4387490</v>
      </c>
      <c r="H284" s="5">
        <v>4906</v>
      </c>
      <c r="I284" s="12">
        <v>1071.1600000000001</v>
      </c>
      <c r="J284" s="5">
        <v>143</v>
      </c>
      <c r="K284" s="5">
        <v>3</v>
      </c>
      <c r="L284" s="5">
        <v>1</v>
      </c>
      <c r="M284" s="12">
        <v>4981</v>
      </c>
      <c r="N284" s="14">
        <v>3.65009895813884E-2</v>
      </c>
      <c r="O284" s="16">
        <v>2.9147982062780272E-4</v>
      </c>
      <c r="P284" s="18">
        <v>2.0979020979020979E-4</v>
      </c>
      <c r="Q284" s="16">
        <v>3.3333333333333331E-3</v>
      </c>
      <c r="R284" s="12">
        <f>IF(Marketing!$L284=0, 0, Marketing!$M284/Marketing!$L284)</f>
        <v>4981</v>
      </c>
      <c r="S284" s="12">
        <f>IF(Marketing!$J284=0,0,Marketing!$I284/Marketing!$J284)</f>
        <v>7.490629370629371</v>
      </c>
      <c r="T284" s="12">
        <f>IF(Marketing!$K284=0,0,Marketing!$I284/Marketing!$K284)</f>
        <v>357.05333333333334</v>
      </c>
      <c r="U284" s="12">
        <f>Marketing!$M284 - Marketing!$I284</f>
        <v>3909.84</v>
      </c>
      <c r="V284" s="12">
        <f>IF(Marketing!$L284=0,0,Marketing!$I284/Marketing!$L284)</f>
        <v>1071.1600000000001</v>
      </c>
      <c r="W284" s="5" t="str">
        <f>IF(ISNUMBER(SEARCH("tier1",Marketing!$E284)),"Tier 1","Tier 2")</f>
        <v>Tier 2</v>
      </c>
      <c r="X284" s="5" t="str">
        <f t="shared" si="4"/>
        <v>Tier 2</v>
      </c>
      <c r="Y284" s="5" t="str">
        <f>IF(WEEKDAY(Marketing!$D284,2)&lt;6,"Weekday","Weekend")</f>
        <v>Weekday</v>
      </c>
    </row>
    <row r="285" spans="1:25" x14ac:dyDescent="0.35">
      <c r="A285" s="7">
        <v>284</v>
      </c>
      <c r="B285" s="7" t="str">
        <f>TEXT(Marketing!$D285,"MMMM")</f>
        <v>February</v>
      </c>
      <c r="C285" s="7" t="str">
        <f>TEXT(Marketing!$D285,"DDDD")</f>
        <v>Friday</v>
      </c>
      <c r="D285" s="8">
        <v>44253</v>
      </c>
      <c r="E285" s="7" t="s">
        <v>11</v>
      </c>
      <c r="F285" s="7" t="s">
        <v>2</v>
      </c>
      <c r="G285" s="7">
        <v>544756</v>
      </c>
      <c r="H285" s="7">
        <v>55269</v>
      </c>
      <c r="I285" s="13">
        <v>315.92</v>
      </c>
      <c r="J285" s="7">
        <v>610</v>
      </c>
      <c r="K285" s="7">
        <v>0</v>
      </c>
      <c r="L285" s="7">
        <v>0</v>
      </c>
      <c r="M285" s="13">
        <v>0</v>
      </c>
      <c r="N285" s="15">
        <v>-0.01</v>
      </c>
      <c r="O285" s="16">
        <v>1.1036928477084804E-4</v>
      </c>
      <c r="P285" s="18">
        <v>0</v>
      </c>
      <c r="Q285" s="16">
        <v>0</v>
      </c>
      <c r="R285" s="13">
        <f>IF(Marketing!$L285=0, 0, Marketing!$M285/Marketing!$L285)</f>
        <v>0</v>
      </c>
      <c r="S285" s="13">
        <f>IF(Marketing!$J285=0,0,Marketing!$I285/Marketing!$J285)</f>
        <v>0.51790163934426237</v>
      </c>
      <c r="T285" s="13">
        <f>IF(Marketing!$K285=0,0,Marketing!$I285/Marketing!$K285)</f>
        <v>0</v>
      </c>
      <c r="U285" s="13">
        <f>Marketing!$M285 - Marketing!$I285</f>
        <v>-315.92</v>
      </c>
      <c r="V285" s="13">
        <f>IF(Marketing!$L285=0,0,Marketing!$I285/Marketing!$L285)</f>
        <v>0</v>
      </c>
      <c r="W285" s="7" t="str">
        <f>IF(ISNUMBER(SEARCH("tier1",Marketing!$E285)),"Tier 1","Tier 2")</f>
        <v>Tier 2</v>
      </c>
      <c r="X285" s="7" t="str">
        <f t="shared" si="4"/>
        <v>Tier 2</v>
      </c>
      <c r="Y285" s="7" t="str">
        <f>IF(WEEKDAY(Marketing!$D285,2)&lt;6,"Weekday","Weekend")</f>
        <v>Weekday</v>
      </c>
    </row>
    <row r="286" spans="1:25" x14ac:dyDescent="0.35">
      <c r="A286" s="5">
        <v>285</v>
      </c>
      <c r="B286" s="5" t="str">
        <f>TEXT(Marketing!$D286,"MMMM")</f>
        <v>February</v>
      </c>
      <c r="C286" s="5" t="str">
        <f>TEXT(Marketing!$D286,"DDDD")</f>
        <v>Friday</v>
      </c>
      <c r="D286" s="6">
        <v>44253</v>
      </c>
      <c r="E286" s="5" t="s">
        <v>12</v>
      </c>
      <c r="F286" s="5" t="s">
        <v>7</v>
      </c>
      <c r="G286" s="5">
        <v>374754</v>
      </c>
      <c r="H286" s="5">
        <v>192489</v>
      </c>
      <c r="I286" s="12">
        <v>15596</v>
      </c>
      <c r="J286" s="5">
        <v>1497</v>
      </c>
      <c r="K286" s="5">
        <v>34</v>
      </c>
      <c r="L286" s="5">
        <v>5</v>
      </c>
      <c r="M286" s="12">
        <v>25205</v>
      </c>
      <c r="N286" s="14">
        <v>6.1611951782508338E-3</v>
      </c>
      <c r="O286" s="16">
        <v>7.7770677804965484E-5</v>
      </c>
      <c r="P286" s="18">
        <v>2.2712090848363395E-4</v>
      </c>
      <c r="Q286" s="16">
        <v>1.4705882352941176E-3</v>
      </c>
      <c r="R286" s="12">
        <f>IF(Marketing!$L286=0, 0, Marketing!$M286/Marketing!$L286)</f>
        <v>5041</v>
      </c>
      <c r="S286" s="12">
        <f>IF(Marketing!$J286=0,0,Marketing!$I286/Marketing!$J286)</f>
        <v>10.41816967267869</v>
      </c>
      <c r="T286" s="12">
        <f>IF(Marketing!$K286=0,0,Marketing!$I286/Marketing!$K286)</f>
        <v>458.70588235294116</v>
      </c>
      <c r="U286" s="12">
        <f>Marketing!$M286 - Marketing!$I286</f>
        <v>9609</v>
      </c>
      <c r="V286" s="12">
        <f>IF(Marketing!$L286=0,0,Marketing!$I286/Marketing!$L286)</f>
        <v>3119.2</v>
      </c>
      <c r="W286" s="5" t="str">
        <f>IF(ISNUMBER(SEARCH("tier1",Marketing!$E286)),"Tier 1","Tier 2")</f>
        <v>Tier 2</v>
      </c>
      <c r="X286" s="5" t="str">
        <f t="shared" si="4"/>
        <v>Tier 2</v>
      </c>
      <c r="Y286" s="5" t="str">
        <f>IF(WEEKDAY(Marketing!$D286,2)&lt;6,"Weekday","Weekend")</f>
        <v>Weekday</v>
      </c>
    </row>
    <row r="287" spans="1:25" x14ac:dyDescent="0.35">
      <c r="A287" s="7">
        <v>286</v>
      </c>
      <c r="B287" s="7" t="str">
        <f>TEXT(Marketing!$D287,"MMMM")</f>
        <v>February</v>
      </c>
      <c r="C287" s="7" t="str">
        <f>TEXT(Marketing!$D287,"DDDD")</f>
        <v>Friday</v>
      </c>
      <c r="D287" s="8">
        <v>44253</v>
      </c>
      <c r="E287" s="7" t="s">
        <v>13</v>
      </c>
      <c r="F287" s="7" t="s">
        <v>14</v>
      </c>
      <c r="G287" s="7">
        <v>39889</v>
      </c>
      <c r="H287" s="7">
        <v>20930000</v>
      </c>
      <c r="I287" s="13">
        <v>8087.73</v>
      </c>
      <c r="J287" s="7">
        <v>2093</v>
      </c>
      <c r="K287" s="7">
        <v>22</v>
      </c>
      <c r="L287" s="7">
        <v>3</v>
      </c>
      <c r="M287" s="13">
        <v>12213</v>
      </c>
      <c r="N287" s="15">
        <v>5.1006524698524814E-3</v>
      </c>
      <c r="O287" s="16">
        <v>9.9999999999999995E-7</v>
      </c>
      <c r="P287" s="18">
        <v>1.0511227902532251E-4</v>
      </c>
      <c r="Q287" s="16">
        <v>1.3636363636363635E-3</v>
      </c>
      <c r="R287" s="13">
        <f>IF(Marketing!$L287=0, 0, Marketing!$M287/Marketing!$L287)</f>
        <v>4071</v>
      </c>
      <c r="S287" s="13">
        <f>IF(Marketing!$J287=0,0,Marketing!$I287/Marketing!$J287)</f>
        <v>3.8641806020066887</v>
      </c>
      <c r="T287" s="13">
        <f>IF(Marketing!$K287=0,0,Marketing!$I287/Marketing!$K287)</f>
        <v>367.62409090909091</v>
      </c>
      <c r="U287" s="13">
        <f>Marketing!$M287 - Marketing!$I287</f>
        <v>4125.2700000000004</v>
      </c>
      <c r="V287" s="13">
        <f>IF(Marketing!$L287=0,0,Marketing!$I287/Marketing!$L287)</f>
        <v>2695.91</v>
      </c>
      <c r="W287" s="7" t="str">
        <f>IF(ISNUMBER(SEARCH("tier1",Marketing!$E287)),"Tier 1","Tier 2")</f>
        <v>Tier 2</v>
      </c>
      <c r="X287" s="7" t="str">
        <f t="shared" si="4"/>
        <v>Tier 2</v>
      </c>
      <c r="Y287" s="7" t="str">
        <f>IF(WEEKDAY(Marketing!$D287,2)&lt;6,"Weekday","Weekend")</f>
        <v>Weekday</v>
      </c>
    </row>
    <row r="288" spans="1:25" x14ac:dyDescent="0.35">
      <c r="A288" s="5">
        <v>287</v>
      </c>
      <c r="B288" s="5" t="str">
        <f>TEXT(Marketing!$D288,"MMMM")</f>
        <v>February</v>
      </c>
      <c r="C288" s="5" t="str">
        <f>TEXT(Marketing!$D288,"DDDD")</f>
        <v>Saturday</v>
      </c>
      <c r="D288" s="6">
        <v>44254</v>
      </c>
      <c r="E288" s="5" t="s">
        <v>1</v>
      </c>
      <c r="F288" s="5" t="s">
        <v>2</v>
      </c>
      <c r="G288" s="5">
        <v>349043</v>
      </c>
      <c r="H288" s="5">
        <v>213771</v>
      </c>
      <c r="I288" s="12">
        <v>5003.33</v>
      </c>
      <c r="J288" s="5">
        <v>241</v>
      </c>
      <c r="K288" s="5">
        <v>9</v>
      </c>
      <c r="L288" s="5">
        <v>1</v>
      </c>
      <c r="M288" s="12">
        <v>4223</v>
      </c>
      <c r="N288" s="14">
        <v>-1.5596212922193817E-3</v>
      </c>
      <c r="O288" s="16">
        <v>1.1273746205051199E-5</v>
      </c>
      <c r="P288" s="18">
        <v>3.7344398340248964E-4</v>
      </c>
      <c r="Q288" s="16">
        <v>1.1111111111111111E-3</v>
      </c>
      <c r="R288" s="12">
        <f>IF(Marketing!$L288=0, 0, Marketing!$M288/Marketing!$L288)</f>
        <v>4223</v>
      </c>
      <c r="S288" s="12">
        <f>IF(Marketing!$J288=0,0,Marketing!$I288/Marketing!$J288)</f>
        <v>20.760705394190872</v>
      </c>
      <c r="T288" s="12">
        <f>IF(Marketing!$K288=0,0,Marketing!$I288/Marketing!$K288)</f>
        <v>555.92555555555555</v>
      </c>
      <c r="U288" s="12">
        <f>Marketing!$M288 - Marketing!$I288</f>
        <v>-780.32999999999993</v>
      </c>
      <c r="V288" s="12">
        <f>IF(Marketing!$L288=0,0,Marketing!$I288/Marketing!$L288)</f>
        <v>5003.33</v>
      </c>
      <c r="W288" s="5" t="str">
        <f>IF(ISNUMBER(SEARCH("tier1",Marketing!$E288)),"Tier 1","Tier 2")</f>
        <v>Tier 1</v>
      </c>
      <c r="X288" s="5" t="str">
        <f t="shared" si="4"/>
        <v>Tier 1</v>
      </c>
      <c r="Y288" s="5" t="str">
        <f>IF(WEEKDAY(Marketing!$D288,2)&lt;6,"Weekday","Weekend")</f>
        <v>Weekend</v>
      </c>
    </row>
    <row r="289" spans="1:25" x14ac:dyDescent="0.35">
      <c r="A289" s="7">
        <v>288</v>
      </c>
      <c r="B289" s="7" t="str">
        <f>TEXT(Marketing!$D289,"MMMM")</f>
        <v>February</v>
      </c>
      <c r="C289" s="7" t="str">
        <f>TEXT(Marketing!$D289,"DDDD")</f>
        <v>Saturday</v>
      </c>
      <c r="D289" s="8">
        <v>44254</v>
      </c>
      <c r="E289" s="7" t="s">
        <v>67</v>
      </c>
      <c r="F289" s="7" t="s">
        <v>2</v>
      </c>
      <c r="G289" s="7">
        <v>348934</v>
      </c>
      <c r="H289" s="7">
        <v>66400</v>
      </c>
      <c r="I289" s="13">
        <v>3235.77</v>
      </c>
      <c r="J289" s="7">
        <v>332</v>
      </c>
      <c r="K289" s="7">
        <v>13</v>
      </c>
      <c r="L289" s="7">
        <v>0</v>
      </c>
      <c r="M289" s="13">
        <v>0</v>
      </c>
      <c r="N289" s="15">
        <v>-0.01</v>
      </c>
      <c r="O289" s="16">
        <v>5.0000000000000002E-5</v>
      </c>
      <c r="P289" s="18">
        <v>3.9156626506024099E-4</v>
      </c>
      <c r="Q289" s="16">
        <v>0</v>
      </c>
      <c r="R289" s="13">
        <f>IF(Marketing!$L289=0, 0, Marketing!$M289/Marketing!$L289)</f>
        <v>0</v>
      </c>
      <c r="S289" s="13">
        <f>IF(Marketing!$J289=0,0,Marketing!$I289/Marketing!$J289)</f>
        <v>9.7462951807228908</v>
      </c>
      <c r="T289" s="13">
        <f>IF(Marketing!$K289=0,0,Marketing!$I289/Marketing!$K289)</f>
        <v>248.90538461538461</v>
      </c>
      <c r="U289" s="13">
        <f>Marketing!$M289 - Marketing!$I289</f>
        <v>-3235.77</v>
      </c>
      <c r="V289" s="13">
        <f>IF(Marketing!$L289=0,0,Marketing!$I289/Marketing!$L289)</f>
        <v>0</v>
      </c>
      <c r="W289" s="7" t="str">
        <f>IF(ISNUMBER(SEARCH("tier1",Marketing!$E289)),"Tier 1","Tier 2")</f>
        <v>Tier 2</v>
      </c>
      <c r="X289" s="7" t="str">
        <f t="shared" si="4"/>
        <v>Tier 2</v>
      </c>
      <c r="Y289" s="7" t="str">
        <f>IF(WEEKDAY(Marketing!$D289,2)&lt;6,"Weekday","Weekend")</f>
        <v>Weekend</v>
      </c>
    </row>
    <row r="290" spans="1:25" x14ac:dyDescent="0.35">
      <c r="A290" s="5">
        <v>289</v>
      </c>
      <c r="B290" s="5" t="str">
        <f>TEXT(Marketing!$D290,"MMMM")</f>
        <v>February</v>
      </c>
      <c r="C290" s="5" t="str">
        <f>TEXT(Marketing!$D290,"DDDD")</f>
        <v>Saturday</v>
      </c>
      <c r="D290" s="6">
        <v>44254</v>
      </c>
      <c r="E290" s="5" t="s">
        <v>3</v>
      </c>
      <c r="F290" s="5" t="s">
        <v>4</v>
      </c>
      <c r="G290" s="5">
        <v>89459845</v>
      </c>
      <c r="H290" s="5">
        <v>4662</v>
      </c>
      <c r="I290" s="12">
        <v>1754.25</v>
      </c>
      <c r="J290" s="5">
        <v>83</v>
      </c>
      <c r="K290" s="5">
        <v>2</v>
      </c>
      <c r="L290" s="5">
        <v>0</v>
      </c>
      <c r="M290" s="12">
        <v>0</v>
      </c>
      <c r="N290" s="14">
        <v>-0.01</v>
      </c>
      <c r="O290" s="16">
        <v>1.7803517803517802E-4</v>
      </c>
      <c r="P290" s="18">
        <v>2.4096385542168676E-4</v>
      </c>
      <c r="Q290" s="16">
        <v>0</v>
      </c>
      <c r="R290" s="12">
        <f>IF(Marketing!$L290=0, 0, Marketing!$M290/Marketing!$L290)</f>
        <v>0</v>
      </c>
      <c r="S290" s="12">
        <f>IF(Marketing!$J290=0,0,Marketing!$I290/Marketing!$J290)</f>
        <v>21.1355421686747</v>
      </c>
      <c r="T290" s="12">
        <f>IF(Marketing!$K290=0,0,Marketing!$I290/Marketing!$K290)</f>
        <v>877.125</v>
      </c>
      <c r="U290" s="12">
        <f>Marketing!$M290 - Marketing!$I290</f>
        <v>-1754.25</v>
      </c>
      <c r="V290" s="12">
        <f>IF(Marketing!$L290=0,0,Marketing!$I290/Marketing!$L290)</f>
        <v>0</v>
      </c>
      <c r="W290" s="5" t="str">
        <f>IF(ISNUMBER(SEARCH("tier1",Marketing!$E290)),"Tier 1","Tier 2")</f>
        <v>Tier 2</v>
      </c>
      <c r="X290" s="5" t="str">
        <f t="shared" si="4"/>
        <v>Tier 2</v>
      </c>
      <c r="Y290" s="5" t="str">
        <f>IF(WEEKDAY(Marketing!$D290,2)&lt;6,"Weekday","Weekend")</f>
        <v>Weekend</v>
      </c>
    </row>
    <row r="291" spans="1:25" x14ac:dyDescent="0.35">
      <c r="A291" s="7">
        <v>290</v>
      </c>
      <c r="B291" s="7" t="str">
        <f>TEXT(Marketing!$D291,"MMMM")</f>
        <v>February</v>
      </c>
      <c r="C291" s="7" t="str">
        <f>TEXT(Marketing!$D291,"DDDD")</f>
        <v>Saturday</v>
      </c>
      <c r="D291" s="8">
        <v>44254</v>
      </c>
      <c r="E291" s="7" t="s">
        <v>5</v>
      </c>
      <c r="F291" s="7" t="s">
        <v>4</v>
      </c>
      <c r="G291" s="7">
        <v>127823</v>
      </c>
      <c r="H291" s="7">
        <v>40004</v>
      </c>
      <c r="I291" s="13">
        <v>1487.24</v>
      </c>
      <c r="J291" s="7">
        <v>243</v>
      </c>
      <c r="K291" s="7">
        <v>5</v>
      </c>
      <c r="L291" s="7">
        <v>0</v>
      </c>
      <c r="M291" s="13">
        <v>0</v>
      </c>
      <c r="N291" s="15">
        <v>-0.01</v>
      </c>
      <c r="O291" s="16">
        <v>6.0743925607439258E-5</v>
      </c>
      <c r="P291" s="18">
        <v>2.0576131687242798E-4</v>
      </c>
      <c r="Q291" s="16">
        <v>0</v>
      </c>
      <c r="R291" s="13">
        <f>IF(Marketing!$L291=0, 0, Marketing!$M291/Marketing!$L291)</f>
        <v>0</v>
      </c>
      <c r="S291" s="13">
        <f>IF(Marketing!$J291=0,0,Marketing!$I291/Marketing!$J291)</f>
        <v>6.1203292181069955</v>
      </c>
      <c r="T291" s="13">
        <f>IF(Marketing!$K291=0,0,Marketing!$I291/Marketing!$K291)</f>
        <v>297.44799999999998</v>
      </c>
      <c r="U291" s="13">
        <f>Marketing!$M291 - Marketing!$I291</f>
        <v>-1487.24</v>
      </c>
      <c r="V291" s="13">
        <f>IF(Marketing!$L291=0,0,Marketing!$I291/Marketing!$L291)</f>
        <v>0</v>
      </c>
      <c r="W291" s="7" t="str">
        <f>IF(ISNUMBER(SEARCH("tier1",Marketing!$E291)),"Tier 1","Tier 2")</f>
        <v>Tier 2</v>
      </c>
      <c r="X291" s="7" t="str">
        <f t="shared" si="4"/>
        <v>Tier 2</v>
      </c>
      <c r="Y291" s="7" t="str">
        <f>IF(WEEKDAY(Marketing!$D291,2)&lt;6,"Weekday","Weekend")</f>
        <v>Weekend</v>
      </c>
    </row>
    <row r="292" spans="1:25" x14ac:dyDescent="0.35">
      <c r="A292" s="5">
        <v>291</v>
      </c>
      <c r="B292" s="5" t="str">
        <f>TEXT(Marketing!$D292,"MMMM")</f>
        <v>February</v>
      </c>
      <c r="C292" s="5" t="str">
        <f>TEXT(Marketing!$D292,"DDDD")</f>
        <v>Saturday</v>
      </c>
      <c r="D292" s="6">
        <v>44254</v>
      </c>
      <c r="E292" s="5" t="s">
        <v>6</v>
      </c>
      <c r="F292" s="5" t="s">
        <v>7</v>
      </c>
      <c r="G292" s="5">
        <v>10934</v>
      </c>
      <c r="H292" s="5">
        <v>44000</v>
      </c>
      <c r="I292" s="12">
        <v>5721.83</v>
      </c>
      <c r="J292" s="5">
        <v>440</v>
      </c>
      <c r="K292" s="5">
        <v>15</v>
      </c>
      <c r="L292" s="5">
        <v>3</v>
      </c>
      <c r="M292" s="12">
        <v>23943</v>
      </c>
      <c r="N292" s="14">
        <v>3.1845004133293019E-2</v>
      </c>
      <c r="O292" s="16">
        <v>1E-4</v>
      </c>
      <c r="P292" s="18">
        <v>3.4090909090909088E-4</v>
      </c>
      <c r="Q292" s="16">
        <v>2E-3</v>
      </c>
      <c r="R292" s="12">
        <f>IF(Marketing!$L292=0, 0, Marketing!$M292/Marketing!$L292)</f>
        <v>7981</v>
      </c>
      <c r="S292" s="12">
        <f>IF(Marketing!$J292=0,0,Marketing!$I292/Marketing!$J292)</f>
        <v>13.004159090909091</v>
      </c>
      <c r="T292" s="12">
        <f>IF(Marketing!$K292=0,0,Marketing!$I292/Marketing!$K292)</f>
        <v>381.45533333333333</v>
      </c>
      <c r="U292" s="12">
        <f>Marketing!$M292 - Marketing!$I292</f>
        <v>18221.169999999998</v>
      </c>
      <c r="V292" s="12">
        <f>IF(Marketing!$L292=0,0,Marketing!$I292/Marketing!$L292)</f>
        <v>1907.2766666666666</v>
      </c>
      <c r="W292" s="5" t="str">
        <f>IF(ISNUMBER(SEARCH("tier1",Marketing!$E292)),"Tier 1","Tier 2")</f>
        <v>Tier 2</v>
      </c>
      <c r="X292" s="5" t="str">
        <f t="shared" si="4"/>
        <v>Tier 2</v>
      </c>
      <c r="Y292" s="5" t="str">
        <f>IF(WEEKDAY(Marketing!$D292,2)&lt;6,"Weekday","Weekend")</f>
        <v>Weekend</v>
      </c>
    </row>
    <row r="293" spans="1:25" x14ac:dyDescent="0.35">
      <c r="A293" s="7">
        <v>292</v>
      </c>
      <c r="B293" s="7" t="str">
        <f>TEXT(Marketing!$D293,"MMMM")</f>
        <v>February</v>
      </c>
      <c r="C293" s="7" t="str">
        <f>TEXT(Marketing!$D293,"DDDD")</f>
        <v>Saturday</v>
      </c>
      <c r="D293" s="8">
        <v>44254</v>
      </c>
      <c r="E293" s="7" t="s">
        <v>8</v>
      </c>
      <c r="F293" s="7" t="s">
        <v>2</v>
      </c>
      <c r="G293" s="7">
        <v>9034945</v>
      </c>
      <c r="H293" s="7">
        <v>44112</v>
      </c>
      <c r="I293" s="13">
        <v>1832.16</v>
      </c>
      <c r="J293" s="7">
        <v>275</v>
      </c>
      <c r="K293" s="7">
        <v>6</v>
      </c>
      <c r="L293" s="7">
        <v>1</v>
      </c>
      <c r="M293" s="13">
        <v>5981</v>
      </c>
      <c r="N293" s="15">
        <v>2.2644528862108115E-2</v>
      </c>
      <c r="O293" s="16">
        <v>6.2341313021400065E-5</v>
      </c>
      <c r="P293" s="18">
        <v>2.1818181818181821E-4</v>
      </c>
      <c r="Q293" s="16">
        <v>1.6666666666666666E-3</v>
      </c>
      <c r="R293" s="13">
        <f>IF(Marketing!$L293=0, 0, Marketing!$M293/Marketing!$L293)</f>
        <v>5981</v>
      </c>
      <c r="S293" s="13">
        <f>IF(Marketing!$J293=0,0,Marketing!$I293/Marketing!$J293)</f>
        <v>6.6623999999999999</v>
      </c>
      <c r="T293" s="13">
        <f>IF(Marketing!$K293=0,0,Marketing!$I293/Marketing!$K293)</f>
        <v>305.36</v>
      </c>
      <c r="U293" s="13">
        <f>Marketing!$M293 - Marketing!$I293</f>
        <v>4148.84</v>
      </c>
      <c r="V293" s="13">
        <f>IF(Marketing!$L293=0,0,Marketing!$I293/Marketing!$L293)</f>
        <v>1832.16</v>
      </c>
      <c r="W293" s="7" t="str">
        <f>IF(ISNUMBER(SEARCH("tier1",Marketing!$E293)),"Tier 1","Tier 2")</f>
        <v>Tier 1</v>
      </c>
      <c r="X293" s="7" t="str">
        <f t="shared" si="4"/>
        <v>Tier 1</v>
      </c>
      <c r="Y293" s="7" t="str">
        <f>IF(WEEKDAY(Marketing!$D293,2)&lt;6,"Weekday","Weekend")</f>
        <v>Weekend</v>
      </c>
    </row>
    <row r="294" spans="1:25" x14ac:dyDescent="0.35">
      <c r="A294" s="5">
        <v>293</v>
      </c>
      <c r="B294" s="5" t="str">
        <f>TEXT(Marketing!$D294,"MMMM")</f>
        <v>February</v>
      </c>
      <c r="C294" s="5" t="str">
        <f>TEXT(Marketing!$D294,"DDDD")</f>
        <v>Saturday</v>
      </c>
      <c r="D294" s="6">
        <v>44254</v>
      </c>
      <c r="E294" s="5" t="s">
        <v>9</v>
      </c>
      <c r="F294" s="5" t="s">
        <v>2</v>
      </c>
      <c r="G294" s="5">
        <v>983498</v>
      </c>
      <c r="H294" s="5">
        <v>78799</v>
      </c>
      <c r="I294" s="12">
        <v>254.14</v>
      </c>
      <c r="J294" s="5">
        <v>503</v>
      </c>
      <c r="K294" s="5">
        <v>3</v>
      </c>
      <c r="L294" s="5">
        <v>0</v>
      </c>
      <c r="M294" s="12">
        <v>0</v>
      </c>
      <c r="N294" s="14">
        <v>-0.01</v>
      </c>
      <c r="O294" s="16">
        <v>6.3833297376870264E-5</v>
      </c>
      <c r="P294" s="18">
        <v>5.9642147117296219E-5</v>
      </c>
      <c r="Q294" s="16">
        <v>0</v>
      </c>
      <c r="R294" s="12">
        <f>IF(Marketing!$L294=0, 0, Marketing!$M294/Marketing!$L294)</f>
        <v>0</v>
      </c>
      <c r="S294" s="12">
        <f>IF(Marketing!$J294=0,0,Marketing!$I294/Marketing!$J294)</f>
        <v>0.50524850894632201</v>
      </c>
      <c r="T294" s="12">
        <f>IF(Marketing!$K294=0,0,Marketing!$I294/Marketing!$K294)</f>
        <v>84.713333333333324</v>
      </c>
      <c r="U294" s="12">
        <f>Marketing!$M294 - Marketing!$I294</f>
        <v>-254.14</v>
      </c>
      <c r="V294" s="12">
        <f>IF(Marketing!$L294=0,0,Marketing!$I294/Marketing!$L294)</f>
        <v>0</v>
      </c>
      <c r="W294" s="5" t="str">
        <f>IF(ISNUMBER(SEARCH("tier1",Marketing!$E294)),"Tier 1","Tier 2")</f>
        <v>Tier 2</v>
      </c>
      <c r="X294" s="5" t="str">
        <f t="shared" si="4"/>
        <v>Tier 2</v>
      </c>
      <c r="Y294" s="5" t="str">
        <f>IF(WEEKDAY(Marketing!$D294,2)&lt;6,"Weekday","Weekend")</f>
        <v>Weekend</v>
      </c>
    </row>
    <row r="295" spans="1:25" x14ac:dyDescent="0.35">
      <c r="A295" s="7">
        <v>294</v>
      </c>
      <c r="B295" s="7" t="str">
        <f>TEXT(Marketing!$D295,"MMMM")</f>
        <v>February</v>
      </c>
      <c r="C295" s="7" t="str">
        <f>TEXT(Marketing!$D295,"DDDD")</f>
        <v>Saturday</v>
      </c>
      <c r="D295" s="8">
        <v>44254</v>
      </c>
      <c r="E295" s="7" t="s">
        <v>10</v>
      </c>
      <c r="F295" s="7" t="s">
        <v>2</v>
      </c>
      <c r="G295" s="7">
        <v>4387490</v>
      </c>
      <c r="H295" s="7">
        <v>667</v>
      </c>
      <c r="I295" s="13">
        <v>200.42</v>
      </c>
      <c r="J295" s="7">
        <v>20</v>
      </c>
      <c r="K295" s="7">
        <v>0</v>
      </c>
      <c r="L295" s="7">
        <v>0</v>
      </c>
      <c r="M295" s="13">
        <v>0</v>
      </c>
      <c r="N295" s="15">
        <v>-0.01</v>
      </c>
      <c r="O295" s="16">
        <v>2.9985007496251872E-4</v>
      </c>
      <c r="P295" s="18">
        <v>0</v>
      </c>
      <c r="Q295" s="16">
        <v>0</v>
      </c>
      <c r="R295" s="13">
        <f>IF(Marketing!$L295=0, 0, Marketing!$M295/Marketing!$L295)</f>
        <v>0</v>
      </c>
      <c r="S295" s="13">
        <f>IF(Marketing!$J295=0,0,Marketing!$I295/Marketing!$J295)</f>
        <v>10.020999999999999</v>
      </c>
      <c r="T295" s="13">
        <f>IF(Marketing!$K295=0,0,Marketing!$I295/Marketing!$K295)</f>
        <v>0</v>
      </c>
      <c r="U295" s="13">
        <f>Marketing!$M295 - Marketing!$I295</f>
        <v>-200.42</v>
      </c>
      <c r="V295" s="13">
        <f>IF(Marketing!$L295=0,0,Marketing!$I295/Marketing!$L295)</f>
        <v>0</v>
      </c>
      <c r="W295" s="7" t="str">
        <f>IF(ISNUMBER(SEARCH("tier1",Marketing!$E295)),"Tier 1","Tier 2")</f>
        <v>Tier 2</v>
      </c>
      <c r="X295" s="7" t="str">
        <f t="shared" si="4"/>
        <v>Tier 2</v>
      </c>
      <c r="Y295" s="7" t="str">
        <f>IF(WEEKDAY(Marketing!$D295,2)&lt;6,"Weekday","Weekend")</f>
        <v>Weekend</v>
      </c>
    </row>
    <row r="296" spans="1:25" x14ac:dyDescent="0.35">
      <c r="A296" s="5">
        <v>295</v>
      </c>
      <c r="B296" s="5" t="str">
        <f>TEXT(Marketing!$D296,"MMMM")</f>
        <v>February</v>
      </c>
      <c r="C296" s="5" t="str">
        <f>TEXT(Marketing!$D296,"DDDD")</f>
        <v>Saturday</v>
      </c>
      <c r="D296" s="6">
        <v>44254</v>
      </c>
      <c r="E296" s="5" t="s">
        <v>11</v>
      </c>
      <c r="F296" s="5" t="s">
        <v>2</v>
      </c>
      <c r="G296" s="5">
        <v>544756</v>
      </c>
      <c r="H296" s="5">
        <v>13693</v>
      </c>
      <c r="I296" s="12">
        <v>3098.45</v>
      </c>
      <c r="J296" s="5">
        <v>115</v>
      </c>
      <c r="K296" s="5">
        <v>2</v>
      </c>
      <c r="L296" s="5">
        <v>0</v>
      </c>
      <c r="M296" s="12">
        <v>0</v>
      </c>
      <c r="N296" s="14">
        <v>-0.01</v>
      </c>
      <c r="O296" s="16">
        <v>8.3984517636748705E-5</v>
      </c>
      <c r="P296" s="18">
        <v>1.7391304347826088E-4</v>
      </c>
      <c r="Q296" s="16">
        <v>0</v>
      </c>
      <c r="R296" s="12">
        <f>IF(Marketing!$L296=0, 0, Marketing!$M296/Marketing!$L296)</f>
        <v>0</v>
      </c>
      <c r="S296" s="12">
        <f>IF(Marketing!$J296=0,0,Marketing!$I296/Marketing!$J296)</f>
        <v>26.943043478260869</v>
      </c>
      <c r="T296" s="12">
        <f>IF(Marketing!$K296=0,0,Marketing!$I296/Marketing!$K296)</f>
        <v>1549.2249999999999</v>
      </c>
      <c r="U296" s="12">
        <f>Marketing!$M296 - Marketing!$I296</f>
        <v>-3098.45</v>
      </c>
      <c r="V296" s="12">
        <f>IF(Marketing!$L296=0,0,Marketing!$I296/Marketing!$L296)</f>
        <v>0</v>
      </c>
      <c r="W296" s="5" t="str">
        <f>IF(ISNUMBER(SEARCH("tier1",Marketing!$E296)),"Tier 1","Tier 2")</f>
        <v>Tier 2</v>
      </c>
      <c r="X296" s="5" t="str">
        <f t="shared" si="4"/>
        <v>Tier 2</v>
      </c>
      <c r="Y296" s="5" t="str">
        <f>IF(WEEKDAY(Marketing!$D296,2)&lt;6,"Weekday","Weekend")</f>
        <v>Weekend</v>
      </c>
    </row>
    <row r="297" spans="1:25" x14ac:dyDescent="0.35">
      <c r="A297" s="7">
        <v>296</v>
      </c>
      <c r="B297" s="7" t="str">
        <f>TEXT(Marketing!$D297,"MMMM")</f>
        <v>February</v>
      </c>
      <c r="C297" s="7" t="str">
        <f>TEXT(Marketing!$D297,"DDDD")</f>
        <v>Saturday</v>
      </c>
      <c r="D297" s="8">
        <v>44254</v>
      </c>
      <c r="E297" s="7" t="s">
        <v>12</v>
      </c>
      <c r="F297" s="7" t="s">
        <v>7</v>
      </c>
      <c r="G297" s="7">
        <v>374754</v>
      </c>
      <c r="H297" s="7">
        <v>24018</v>
      </c>
      <c r="I297" s="13">
        <v>3524.08</v>
      </c>
      <c r="J297" s="7">
        <v>298</v>
      </c>
      <c r="K297" s="7">
        <v>6</v>
      </c>
      <c r="L297" s="7">
        <v>1</v>
      </c>
      <c r="M297" s="13">
        <v>4661</v>
      </c>
      <c r="N297" s="15">
        <v>3.2261469660166625E-3</v>
      </c>
      <c r="O297" s="16">
        <v>1.240736114580731E-4</v>
      </c>
      <c r="P297" s="18">
        <v>2.0134228187919463E-4</v>
      </c>
      <c r="Q297" s="16">
        <v>1.6666666666666666E-3</v>
      </c>
      <c r="R297" s="13">
        <f>IF(Marketing!$L297=0, 0, Marketing!$M297/Marketing!$L297)</f>
        <v>4661</v>
      </c>
      <c r="S297" s="13">
        <f>IF(Marketing!$J297=0,0,Marketing!$I297/Marketing!$J297)</f>
        <v>11.825771812080538</v>
      </c>
      <c r="T297" s="13">
        <f>IF(Marketing!$K297=0,0,Marketing!$I297/Marketing!$K297)</f>
        <v>587.34666666666669</v>
      </c>
      <c r="U297" s="13">
        <f>Marketing!$M297 - Marketing!$I297</f>
        <v>1136.92</v>
      </c>
      <c r="V297" s="13">
        <f>IF(Marketing!$L297=0,0,Marketing!$I297/Marketing!$L297)</f>
        <v>3524.08</v>
      </c>
      <c r="W297" s="7" t="str">
        <f>IF(ISNUMBER(SEARCH("tier1",Marketing!$E297)),"Tier 1","Tier 2")</f>
        <v>Tier 2</v>
      </c>
      <c r="X297" s="7" t="str">
        <f t="shared" si="4"/>
        <v>Tier 2</v>
      </c>
      <c r="Y297" s="7" t="str">
        <f>IF(WEEKDAY(Marketing!$D297,2)&lt;6,"Weekday","Weekend")</f>
        <v>Weekend</v>
      </c>
    </row>
    <row r="298" spans="1:25" x14ac:dyDescent="0.35">
      <c r="A298" s="5">
        <v>297</v>
      </c>
      <c r="B298" s="5" t="str">
        <f>TEXT(Marketing!$D298,"MMMM")</f>
        <v>February</v>
      </c>
      <c r="C298" s="5" t="str">
        <f>TEXT(Marketing!$D298,"DDDD")</f>
        <v>Saturday</v>
      </c>
      <c r="D298" s="6">
        <v>44254</v>
      </c>
      <c r="E298" s="5" t="s">
        <v>13</v>
      </c>
      <c r="F298" s="5" t="s">
        <v>14</v>
      </c>
      <c r="G298" s="5">
        <v>39889</v>
      </c>
      <c r="H298" s="5">
        <v>182546</v>
      </c>
      <c r="I298" s="12">
        <v>2791.06</v>
      </c>
      <c r="J298" s="5">
        <v>426</v>
      </c>
      <c r="K298" s="5">
        <v>9</v>
      </c>
      <c r="L298" s="5">
        <v>1</v>
      </c>
      <c r="M298" s="12">
        <v>3981</v>
      </c>
      <c r="N298" s="14">
        <v>4.2633981354754111E-3</v>
      </c>
      <c r="O298" s="16">
        <v>2.3336583655626527E-5</v>
      </c>
      <c r="P298" s="18">
        <v>2.112676056338028E-4</v>
      </c>
      <c r="Q298" s="16">
        <v>1.1111111111111111E-3</v>
      </c>
      <c r="R298" s="12">
        <f>IF(Marketing!$L298=0, 0, Marketing!$M298/Marketing!$L298)</f>
        <v>3981</v>
      </c>
      <c r="S298" s="12">
        <f>IF(Marketing!$J298=0,0,Marketing!$I298/Marketing!$J298)</f>
        <v>6.5517840375586855</v>
      </c>
      <c r="T298" s="12">
        <f>IF(Marketing!$K298=0,0,Marketing!$I298/Marketing!$K298)</f>
        <v>310.11777777777775</v>
      </c>
      <c r="U298" s="12">
        <f>Marketing!$M298 - Marketing!$I298</f>
        <v>1189.94</v>
      </c>
      <c r="V298" s="12">
        <f>IF(Marketing!$L298=0,0,Marketing!$I298/Marketing!$L298)</f>
        <v>2791.06</v>
      </c>
      <c r="W298" s="5" t="str">
        <f>IF(ISNUMBER(SEARCH("tier1",Marketing!$E298)),"Tier 1","Tier 2")</f>
        <v>Tier 2</v>
      </c>
      <c r="X298" s="5" t="str">
        <f t="shared" si="4"/>
        <v>Tier 2</v>
      </c>
      <c r="Y298" s="5" t="str">
        <f>IF(WEEKDAY(Marketing!$D298,2)&lt;6,"Weekday","Weekend")</f>
        <v>Weekend</v>
      </c>
    </row>
    <row r="299" spans="1:25" x14ac:dyDescent="0.35">
      <c r="A299" s="7">
        <v>298</v>
      </c>
      <c r="B299" s="7" t="str">
        <f>TEXT(Marketing!$D299,"MMMM")</f>
        <v>February</v>
      </c>
      <c r="C299" s="7" t="str">
        <f>TEXT(Marketing!$D299,"DDDD")</f>
        <v>Sunday</v>
      </c>
      <c r="D299" s="8">
        <v>44255</v>
      </c>
      <c r="E299" s="7" t="s">
        <v>1</v>
      </c>
      <c r="F299" s="7" t="s">
        <v>2</v>
      </c>
      <c r="G299" s="7">
        <v>349043</v>
      </c>
      <c r="H299" s="7">
        <v>97200</v>
      </c>
      <c r="I299" s="13">
        <v>6440.5</v>
      </c>
      <c r="J299" s="7">
        <v>486</v>
      </c>
      <c r="K299" s="7">
        <v>11</v>
      </c>
      <c r="L299" s="7">
        <v>1</v>
      </c>
      <c r="M299" s="13">
        <v>4981</v>
      </c>
      <c r="N299" s="15">
        <v>-2.2661284061796442E-3</v>
      </c>
      <c r="O299" s="16">
        <v>5.0000000000000002E-5</v>
      </c>
      <c r="P299" s="18">
        <v>2.2633744855967078E-4</v>
      </c>
      <c r="Q299" s="16">
        <v>9.0909090909090909E-4</v>
      </c>
      <c r="R299" s="13">
        <f>IF(Marketing!$L299=0, 0, Marketing!$M299/Marketing!$L299)</f>
        <v>4981</v>
      </c>
      <c r="S299" s="13">
        <f>IF(Marketing!$J299=0,0,Marketing!$I299/Marketing!$J299)</f>
        <v>13.252057613168724</v>
      </c>
      <c r="T299" s="13">
        <f>IF(Marketing!$K299=0,0,Marketing!$I299/Marketing!$K299)</f>
        <v>585.5</v>
      </c>
      <c r="U299" s="13">
        <f>Marketing!$M299 - Marketing!$I299</f>
        <v>-1459.5</v>
      </c>
      <c r="V299" s="13">
        <f>IF(Marketing!$L299=0,0,Marketing!$I299/Marketing!$L299)</f>
        <v>6440.5</v>
      </c>
      <c r="W299" s="7" t="str">
        <f>IF(ISNUMBER(SEARCH("tier1",Marketing!$E299)),"Tier 1","Tier 2")</f>
        <v>Tier 1</v>
      </c>
      <c r="X299" s="7" t="str">
        <f t="shared" si="4"/>
        <v>Tier 1</v>
      </c>
      <c r="Y299" s="7" t="str">
        <f>IF(WEEKDAY(Marketing!$D299,2)&lt;6,"Weekday","Weekend")</f>
        <v>Weekend</v>
      </c>
    </row>
    <row r="300" spans="1:25" x14ac:dyDescent="0.35">
      <c r="A300" s="5">
        <v>299</v>
      </c>
      <c r="B300" s="5" t="str">
        <f>TEXT(Marketing!$D300,"MMMM")</f>
        <v>February</v>
      </c>
      <c r="C300" s="5" t="str">
        <f>TEXT(Marketing!$D300,"DDDD")</f>
        <v>Sunday</v>
      </c>
      <c r="D300" s="6">
        <v>44255</v>
      </c>
      <c r="E300" s="7" t="s">
        <v>67</v>
      </c>
      <c r="F300" s="5" t="s">
        <v>2</v>
      </c>
      <c r="G300" s="5">
        <v>348934</v>
      </c>
      <c r="H300" s="5">
        <v>132200</v>
      </c>
      <c r="I300" s="12">
        <v>8665.5499999999993</v>
      </c>
      <c r="J300" s="5">
        <v>661</v>
      </c>
      <c r="K300" s="5">
        <v>13</v>
      </c>
      <c r="L300" s="5">
        <v>1</v>
      </c>
      <c r="M300" s="12">
        <v>5509</v>
      </c>
      <c r="N300" s="14">
        <v>-3.6426424173883936E-3</v>
      </c>
      <c r="O300" s="16">
        <v>5.0000000000000002E-5</v>
      </c>
      <c r="P300" s="18">
        <v>1.9667170953101363E-4</v>
      </c>
      <c r="Q300" s="16">
        <v>7.6923076923076923E-4</v>
      </c>
      <c r="R300" s="12">
        <f>IF(Marketing!$L300=0, 0, Marketing!$M300/Marketing!$L300)</f>
        <v>5509</v>
      </c>
      <c r="S300" s="12">
        <f>IF(Marketing!$J300=0,0,Marketing!$I300/Marketing!$J300)</f>
        <v>13.109757942511346</v>
      </c>
      <c r="T300" s="12">
        <f>IF(Marketing!$K300=0,0,Marketing!$I300/Marketing!$K300)</f>
        <v>666.58076923076919</v>
      </c>
      <c r="U300" s="12">
        <f>Marketing!$M300 - Marketing!$I300</f>
        <v>-3156.5499999999993</v>
      </c>
      <c r="V300" s="12">
        <f>IF(Marketing!$L300=0,0,Marketing!$I300/Marketing!$L300)</f>
        <v>8665.5499999999993</v>
      </c>
      <c r="W300" s="5" t="str">
        <f>IF(ISNUMBER(SEARCH("tier1",Marketing!$E300)),"Tier 1","Tier 2")</f>
        <v>Tier 2</v>
      </c>
      <c r="X300" s="5" t="str">
        <f t="shared" si="4"/>
        <v>Tier 2</v>
      </c>
      <c r="Y300" s="5" t="str">
        <f>IF(WEEKDAY(Marketing!$D300,2)&lt;6,"Weekday","Weekend")</f>
        <v>Weekend</v>
      </c>
    </row>
    <row r="301" spans="1:25" x14ac:dyDescent="0.35">
      <c r="A301" s="7">
        <v>300</v>
      </c>
      <c r="B301" s="7" t="str">
        <f>TEXT(Marketing!$D301,"MMMM")</f>
        <v>February</v>
      </c>
      <c r="C301" s="7" t="str">
        <f>TEXT(Marketing!$D301,"DDDD")</f>
        <v>Sunday</v>
      </c>
      <c r="D301" s="8">
        <v>44255</v>
      </c>
      <c r="E301" s="7" t="s">
        <v>3</v>
      </c>
      <c r="F301" s="7" t="s">
        <v>4</v>
      </c>
      <c r="G301" s="7">
        <v>89459845</v>
      </c>
      <c r="H301" s="7">
        <v>11554</v>
      </c>
      <c r="I301" s="13">
        <v>3529.73</v>
      </c>
      <c r="J301" s="7">
        <v>187</v>
      </c>
      <c r="K301" s="7">
        <v>5</v>
      </c>
      <c r="L301" s="7">
        <v>1</v>
      </c>
      <c r="M301" s="13">
        <v>8714</v>
      </c>
      <c r="N301" s="15">
        <v>1.4687440682431803E-2</v>
      </c>
      <c r="O301" s="16">
        <v>1.6184871040332351E-4</v>
      </c>
      <c r="P301" s="18">
        <v>2.6737967914438503E-4</v>
      </c>
      <c r="Q301" s="16">
        <v>2E-3</v>
      </c>
      <c r="R301" s="13">
        <f>IF(Marketing!$L301=0, 0, Marketing!$M301/Marketing!$L301)</f>
        <v>8714</v>
      </c>
      <c r="S301" s="13">
        <f>IF(Marketing!$J301=0,0,Marketing!$I301/Marketing!$J301)</f>
        <v>18.875561497326203</v>
      </c>
      <c r="T301" s="13">
        <f>IF(Marketing!$K301=0,0,Marketing!$I301/Marketing!$K301)</f>
        <v>705.94600000000003</v>
      </c>
      <c r="U301" s="13">
        <f>Marketing!$M301 - Marketing!$I301</f>
        <v>5184.2700000000004</v>
      </c>
      <c r="V301" s="13">
        <f>IF(Marketing!$L301=0,0,Marketing!$I301/Marketing!$L301)</f>
        <v>3529.73</v>
      </c>
      <c r="W301" s="7" t="str">
        <f>IF(ISNUMBER(SEARCH("tier1",Marketing!$E301)),"Tier 1","Tier 2")</f>
        <v>Tier 2</v>
      </c>
      <c r="X301" s="7" t="str">
        <f t="shared" si="4"/>
        <v>Tier 2</v>
      </c>
      <c r="Y301" s="7" t="str">
        <f>IF(WEEKDAY(Marketing!$D301,2)&lt;6,"Weekday","Weekend")</f>
        <v>Weekend</v>
      </c>
    </row>
    <row r="302" spans="1:25" x14ac:dyDescent="0.35">
      <c r="A302" s="5">
        <v>301</v>
      </c>
      <c r="B302" s="5" t="str">
        <f>TEXT(Marketing!$D302,"MMMM")</f>
        <v>February</v>
      </c>
      <c r="C302" s="5" t="str">
        <f>TEXT(Marketing!$D302,"DDDD")</f>
        <v>Sunday</v>
      </c>
      <c r="D302" s="6">
        <v>44255</v>
      </c>
      <c r="E302" s="5" t="s">
        <v>5</v>
      </c>
      <c r="F302" s="5" t="s">
        <v>4</v>
      </c>
      <c r="G302" s="5">
        <v>127823</v>
      </c>
      <c r="H302" s="5">
        <v>55625</v>
      </c>
      <c r="I302" s="12">
        <v>384.75</v>
      </c>
      <c r="J302" s="5">
        <v>487</v>
      </c>
      <c r="K302" s="5">
        <v>1</v>
      </c>
      <c r="L302" s="5">
        <v>0</v>
      </c>
      <c r="M302" s="12">
        <v>0</v>
      </c>
      <c r="N302" s="14">
        <v>-0.01</v>
      </c>
      <c r="O302" s="16">
        <v>8.7550561797752809E-5</v>
      </c>
      <c r="P302" s="18">
        <v>2.0533880903490761E-5</v>
      </c>
      <c r="Q302" s="16">
        <v>0</v>
      </c>
      <c r="R302" s="12">
        <f>IF(Marketing!$L302=0, 0, Marketing!$M302/Marketing!$L302)</f>
        <v>0</v>
      </c>
      <c r="S302" s="12">
        <f>IF(Marketing!$J302=0,0,Marketing!$I302/Marketing!$J302)</f>
        <v>0.79004106776180694</v>
      </c>
      <c r="T302" s="12">
        <f>IF(Marketing!$K302=0,0,Marketing!$I302/Marketing!$K302)</f>
        <v>384.75</v>
      </c>
      <c r="U302" s="12">
        <f>Marketing!$M302 - Marketing!$I302</f>
        <v>-384.75</v>
      </c>
      <c r="V302" s="12">
        <f>IF(Marketing!$L302=0,0,Marketing!$I302/Marketing!$L302)</f>
        <v>0</v>
      </c>
      <c r="W302" s="5" t="str">
        <f>IF(ISNUMBER(SEARCH("tier1",Marketing!$E302)),"Tier 1","Tier 2")</f>
        <v>Tier 2</v>
      </c>
      <c r="X302" s="5" t="str">
        <f t="shared" si="4"/>
        <v>Tier 2</v>
      </c>
      <c r="Y302" s="5" t="str">
        <f>IF(WEEKDAY(Marketing!$D302,2)&lt;6,"Weekday","Weekend")</f>
        <v>Weekend</v>
      </c>
    </row>
    <row r="303" spans="1:25" x14ac:dyDescent="0.35">
      <c r="A303" s="7">
        <v>302</v>
      </c>
      <c r="B303" s="7" t="str">
        <f>TEXT(Marketing!$D303,"MMMM")</f>
        <v>February</v>
      </c>
      <c r="C303" s="7" t="str">
        <f>TEXT(Marketing!$D303,"DDDD")</f>
        <v>Sunday</v>
      </c>
      <c r="D303" s="8">
        <v>44255</v>
      </c>
      <c r="E303" s="7" t="s">
        <v>6</v>
      </c>
      <c r="F303" s="7" t="s">
        <v>7</v>
      </c>
      <c r="G303" s="7">
        <v>10934</v>
      </c>
      <c r="H303" s="7">
        <v>129025</v>
      </c>
      <c r="I303" s="13">
        <v>9892.77</v>
      </c>
      <c r="J303" s="7">
        <v>909</v>
      </c>
      <c r="K303" s="7">
        <v>21</v>
      </c>
      <c r="L303" s="7">
        <v>5</v>
      </c>
      <c r="M303" s="13">
        <v>37450</v>
      </c>
      <c r="N303" s="15">
        <v>2.7855929128039972E-2</v>
      </c>
      <c r="O303" s="16">
        <v>7.0451462894787829E-5</v>
      </c>
      <c r="P303" s="18">
        <v>2.3102310231023102E-4</v>
      </c>
      <c r="Q303" s="16">
        <v>2.3809523809523807E-3</v>
      </c>
      <c r="R303" s="13">
        <f>IF(Marketing!$L303=0, 0, Marketing!$M303/Marketing!$L303)</f>
        <v>7490</v>
      </c>
      <c r="S303" s="13">
        <f>IF(Marketing!$J303=0,0,Marketing!$I303/Marketing!$J303)</f>
        <v>10.883135313531353</v>
      </c>
      <c r="T303" s="13">
        <f>IF(Marketing!$K303=0,0,Marketing!$I303/Marketing!$K303)</f>
        <v>471.08428571428573</v>
      </c>
      <c r="U303" s="13">
        <f>Marketing!$M303 - Marketing!$I303</f>
        <v>27557.23</v>
      </c>
      <c r="V303" s="13">
        <f>IF(Marketing!$L303=0,0,Marketing!$I303/Marketing!$L303)</f>
        <v>1978.5540000000001</v>
      </c>
      <c r="W303" s="7" t="str">
        <f>IF(ISNUMBER(SEARCH("tier1",Marketing!$E303)),"Tier 1","Tier 2")</f>
        <v>Tier 2</v>
      </c>
      <c r="X303" s="7" t="str">
        <f t="shared" si="4"/>
        <v>Tier 2</v>
      </c>
      <c r="Y303" s="7" t="str">
        <f>IF(WEEKDAY(Marketing!$D303,2)&lt;6,"Weekday","Weekend")</f>
        <v>Weekend</v>
      </c>
    </row>
    <row r="304" spans="1:25" x14ac:dyDescent="0.35">
      <c r="A304" s="5">
        <v>303</v>
      </c>
      <c r="B304" s="5" t="str">
        <f>TEXT(Marketing!$D304,"MMMM")</f>
        <v>February</v>
      </c>
      <c r="C304" s="5" t="str">
        <f>TEXT(Marketing!$D304,"DDDD")</f>
        <v>Sunday</v>
      </c>
      <c r="D304" s="6">
        <v>44255</v>
      </c>
      <c r="E304" s="5" t="s">
        <v>8</v>
      </c>
      <c r="F304" s="5" t="s">
        <v>2</v>
      </c>
      <c r="G304" s="5">
        <v>9034945</v>
      </c>
      <c r="H304" s="5">
        <v>63566</v>
      </c>
      <c r="I304" s="12">
        <v>4950.74</v>
      </c>
      <c r="J304" s="5">
        <v>546</v>
      </c>
      <c r="K304" s="5">
        <v>12</v>
      </c>
      <c r="L304" s="5">
        <v>1</v>
      </c>
      <c r="M304" s="12">
        <v>5981</v>
      </c>
      <c r="N304" s="14">
        <v>2.0810222310200096E-3</v>
      </c>
      <c r="O304" s="16">
        <v>8.5894975301261683E-5</v>
      </c>
      <c r="P304" s="18">
        <v>2.1978021978021981E-4</v>
      </c>
      <c r="Q304" s="16">
        <v>8.3333333333333328E-4</v>
      </c>
      <c r="R304" s="12">
        <f>IF(Marketing!$L304=0, 0, Marketing!$M304/Marketing!$L304)</f>
        <v>5981</v>
      </c>
      <c r="S304" s="12">
        <f>IF(Marketing!$J304=0,0,Marketing!$I304/Marketing!$J304)</f>
        <v>9.0672893772893772</v>
      </c>
      <c r="T304" s="12">
        <f>IF(Marketing!$K304=0,0,Marketing!$I304/Marketing!$K304)</f>
        <v>412.56166666666667</v>
      </c>
      <c r="U304" s="12">
        <f>Marketing!$M304 - Marketing!$I304</f>
        <v>1030.2600000000002</v>
      </c>
      <c r="V304" s="12">
        <f>IF(Marketing!$L304=0,0,Marketing!$I304/Marketing!$L304)</f>
        <v>4950.74</v>
      </c>
      <c r="W304" s="5" t="str">
        <f>IF(ISNUMBER(SEARCH("tier1",Marketing!$E304)),"Tier 1","Tier 2")</f>
        <v>Tier 1</v>
      </c>
      <c r="X304" s="5" t="str">
        <f t="shared" si="4"/>
        <v>Tier 1</v>
      </c>
      <c r="Y304" s="5" t="str">
        <f>IF(WEEKDAY(Marketing!$D304,2)&lt;6,"Weekday","Weekend")</f>
        <v>Weekend</v>
      </c>
    </row>
    <row r="305" spans="1:25" x14ac:dyDescent="0.35">
      <c r="A305" s="7">
        <v>304</v>
      </c>
      <c r="B305" s="7" t="str">
        <f>TEXT(Marketing!$D305,"MMMM")</f>
        <v>February</v>
      </c>
      <c r="C305" s="7" t="str">
        <f>TEXT(Marketing!$D305,"DDDD")</f>
        <v>Sunday</v>
      </c>
      <c r="D305" s="8">
        <v>44255</v>
      </c>
      <c r="E305" s="7" t="s">
        <v>9</v>
      </c>
      <c r="F305" s="7" t="s">
        <v>2</v>
      </c>
      <c r="G305" s="7">
        <v>983498</v>
      </c>
      <c r="H305" s="7">
        <v>775780</v>
      </c>
      <c r="I305" s="13">
        <v>760.75</v>
      </c>
      <c r="J305" s="7">
        <v>1024</v>
      </c>
      <c r="K305" s="7">
        <v>4</v>
      </c>
      <c r="L305" s="7">
        <v>0</v>
      </c>
      <c r="M305" s="13">
        <v>0</v>
      </c>
      <c r="N305" s="15">
        <v>-0.01</v>
      </c>
      <c r="O305" s="16">
        <v>1.3199618448529222E-5</v>
      </c>
      <c r="P305" s="18">
        <v>3.9062500000000001E-5</v>
      </c>
      <c r="Q305" s="16">
        <v>0</v>
      </c>
      <c r="R305" s="13">
        <f>IF(Marketing!$L305=0, 0, Marketing!$M305/Marketing!$L305)</f>
        <v>0</v>
      </c>
      <c r="S305" s="13">
        <f>IF(Marketing!$J305=0,0,Marketing!$I305/Marketing!$J305)</f>
        <v>0.742919921875</v>
      </c>
      <c r="T305" s="13">
        <f>IF(Marketing!$K305=0,0,Marketing!$I305/Marketing!$K305)</f>
        <v>190.1875</v>
      </c>
      <c r="U305" s="13">
        <f>Marketing!$M305 - Marketing!$I305</f>
        <v>-760.75</v>
      </c>
      <c r="V305" s="13">
        <f>IF(Marketing!$L305=0,0,Marketing!$I305/Marketing!$L305)</f>
        <v>0</v>
      </c>
      <c r="W305" s="7" t="str">
        <f>IF(ISNUMBER(SEARCH("tier1",Marketing!$E305)),"Tier 1","Tier 2")</f>
        <v>Tier 2</v>
      </c>
      <c r="X305" s="7" t="str">
        <f t="shared" si="4"/>
        <v>Tier 2</v>
      </c>
      <c r="Y305" s="7" t="str">
        <f>IF(WEEKDAY(Marketing!$D305,2)&lt;6,"Weekday","Weekend")</f>
        <v>Weekend</v>
      </c>
    </row>
    <row r="306" spans="1:25" x14ac:dyDescent="0.35">
      <c r="A306" s="5">
        <v>305</v>
      </c>
      <c r="B306" s="5" t="str">
        <f>TEXT(Marketing!$D306,"MMMM")</f>
        <v>February</v>
      </c>
      <c r="C306" s="5" t="str">
        <f>TEXT(Marketing!$D306,"DDDD")</f>
        <v>Sunday</v>
      </c>
      <c r="D306" s="6">
        <v>44255</v>
      </c>
      <c r="E306" s="5" t="s">
        <v>10</v>
      </c>
      <c r="F306" s="5" t="s">
        <v>2</v>
      </c>
      <c r="G306" s="5">
        <v>4387490</v>
      </c>
      <c r="H306" s="5">
        <v>1933</v>
      </c>
      <c r="I306" s="12">
        <v>224.81</v>
      </c>
      <c r="J306" s="5">
        <v>58</v>
      </c>
      <c r="K306" s="5">
        <v>0</v>
      </c>
      <c r="L306" s="5">
        <v>0</v>
      </c>
      <c r="M306" s="12">
        <v>0</v>
      </c>
      <c r="N306" s="14">
        <v>-0.01</v>
      </c>
      <c r="O306" s="16">
        <v>3.000517330574237E-4</v>
      </c>
      <c r="P306" s="18">
        <v>0</v>
      </c>
      <c r="Q306" s="16">
        <v>0</v>
      </c>
      <c r="R306" s="12">
        <f>IF(Marketing!$L306=0, 0, Marketing!$M306/Marketing!$L306)</f>
        <v>0</v>
      </c>
      <c r="S306" s="12">
        <f>IF(Marketing!$J306=0,0,Marketing!$I306/Marketing!$J306)</f>
        <v>3.8760344827586208</v>
      </c>
      <c r="T306" s="12">
        <f>IF(Marketing!$K306=0,0,Marketing!$I306/Marketing!$K306)</f>
        <v>0</v>
      </c>
      <c r="U306" s="12">
        <f>Marketing!$M306 - Marketing!$I306</f>
        <v>-224.81</v>
      </c>
      <c r="V306" s="12">
        <f>IF(Marketing!$L306=0,0,Marketing!$I306/Marketing!$L306)</f>
        <v>0</v>
      </c>
      <c r="W306" s="5" t="str">
        <f>IF(ISNUMBER(SEARCH("tier1",Marketing!$E306)),"Tier 1","Tier 2")</f>
        <v>Tier 2</v>
      </c>
      <c r="X306" s="5" t="str">
        <f t="shared" si="4"/>
        <v>Tier 2</v>
      </c>
      <c r="Y306" s="5" t="str">
        <f>IF(WEEKDAY(Marketing!$D306,2)&lt;6,"Weekday","Weekend")</f>
        <v>Weekend</v>
      </c>
    </row>
    <row r="307" spans="1:25" x14ac:dyDescent="0.35">
      <c r="A307" s="7">
        <v>306</v>
      </c>
      <c r="B307" s="7" t="str">
        <f>TEXT(Marketing!$D307,"MMMM")</f>
        <v>February</v>
      </c>
      <c r="C307" s="7" t="str">
        <f>TEXT(Marketing!$D307,"DDDD")</f>
        <v>Sunday</v>
      </c>
      <c r="D307" s="8">
        <v>44255</v>
      </c>
      <c r="E307" s="7" t="s">
        <v>11</v>
      </c>
      <c r="F307" s="7" t="s">
        <v>2</v>
      </c>
      <c r="G307" s="7">
        <v>544756</v>
      </c>
      <c r="H307" s="7">
        <v>25840</v>
      </c>
      <c r="I307" s="13">
        <v>6844.8</v>
      </c>
      <c r="J307" s="7">
        <v>248</v>
      </c>
      <c r="K307" s="7">
        <v>5</v>
      </c>
      <c r="L307" s="7">
        <v>1</v>
      </c>
      <c r="M307" s="13">
        <v>1491</v>
      </c>
      <c r="N307" s="15">
        <v>-7.8217040673211786E-3</v>
      </c>
      <c r="O307" s="16">
        <v>9.5975232198142416E-5</v>
      </c>
      <c r="P307" s="18">
        <v>2.0161290322580645E-4</v>
      </c>
      <c r="Q307" s="16">
        <v>2E-3</v>
      </c>
      <c r="R307" s="13">
        <f>IF(Marketing!$L307=0, 0, Marketing!$M307/Marketing!$L307)</f>
        <v>1491</v>
      </c>
      <c r="S307" s="13">
        <f>IF(Marketing!$J307=0,0,Marketing!$I307/Marketing!$J307)</f>
        <v>27.6</v>
      </c>
      <c r="T307" s="13">
        <f>IF(Marketing!$K307=0,0,Marketing!$I307/Marketing!$K307)</f>
        <v>1368.96</v>
      </c>
      <c r="U307" s="13">
        <f>Marketing!$M307 - Marketing!$I307</f>
        <v>-5353.8</v>
      </c>
      <c r="V307" s="13">
        <f>IF(Marketing!$L307=0,0,Marketing!$I307/Marketing!$L307)</f>
        <v>6844.8</v>
      </c>
      <c r="W307" s="7" t="str">
        <f>IF(ISNUMBER(SEARCH("tier1",Marketing!$E307)),"Tier 1","Tier 2")</f>
        <v>Tier 2</v>
      </c>
      <c r="X307" s="7" t="str">
        <f t="shared" si="4"/>
        <v>Tier 2</v>
      </c>
      <c r="Y307" s="7" t="str">
        <f>IF(WEEKDAY(Marketing!$D307,2)&lt;6,"Weekday","Weekend")</f>
        <v>Weekend</v>
      </c>
    </row>
    <row r="308" spans="1:25" x14ac:dyDescent="0.35">
      <c r="A308" s="5">
        <v>307</v>
      </c>
      <c r="B308" s="5" t="str">
        <f>TEXT(Marketing!$D308,"MMMM")</f>
        <v>February</v>
      </c>
      <c r="C308" s="5" t="str">
        <f>TEXT(Marketing!$D308,"DDDD")</f>
        <v>Sunday</v>
      </c>
      <c r="D308" s="6">
        <v>44255</v>
      </c>
      <c r="E308" s="5" t="s">
        <v>12</v>
      </c>
      <c r="F308" s="5" t="s">
        <v>7</v>
      </c>
      <c r="G308" s="5">
        <v>374754</v>
      </c>
      <c r="H308" s="5">
        <v>94058</v>
      </c>
      <c r="I308" s="12">
        <v>4845.6499999999996</v>
      </c>
      <c r="J308" s="5">
        <v>594</v>
      </c>
      <c r="K308" s="5">
        <v>12</v>
      </c>
      <c r="L308" s="5">
        <v>1</v>
      </c>
      <c r="M308" s="12">
        <v>5008</v>
      </c>
      <c r="N308" s="14">
        <v>3.3504277031977213E-4</v>
      </c>
      <c r="O308" s="16">
        <v>6.3152522911395101E-5</v>
      </c>
      <c r="P308" s="18">
        <v>2.0202020202020205E-4</v>
      </c>
      <c r="Q308" s="16">
        <v>8.3333333333333328E-4</v>
      </c>
      <c r="R308" s="12">
        <f>IF(Marketing!$L308=0, 0, Marketing!$M308/Marketing!$L308)</f>
        <v>5008</v>
      </c>
      <c r="S308" s="12">
        <f>IF(Marketing!$J308=0,0,Marketing!$I308/Marketing!$J308)</f>
        <v>8.1576599326599322</v>
      </c>
      <c r="T308" s="12">
        <f>IF(Marketing!$K308=0,0,Marketing!$I308/Marketing!$K308)</f>
        <v>403.80416666666662</v>
      </c>
      <c r="U308" s="12">
        <f>Marketing!$M308 - Marketing!$I308</f>
        <v>162.35000000000036</v>
      </c>
      <c r="V308" s="12">
        <f>IF(Marketing!$L308=0,0,Marketing!$I308/Marketing!$L308)</f>
        <v>4845.6499999999996</v>
      </c>
      <c r="W308" s="5" t="str">
        <f>IF(ISNUMBER(SEARCH("tier1",Marketing!$E308)),"Tier 1","Tier 2")</f>
        <v>Tier 2</v>
      </c>
      <c r="X308" s="5" t="str">
        <f t="shared" si="4"/>
        <v>Tier 2</v>
      </c>
      <c r="Y308" s="5" t="str">
        <f>IF(WEEKDAY(Marketing!$D308,2)&lt;6,"Weekday","Weekend")</f>
        <v>Weekend</v>
      </c>
    </row>
    <row r="309" spans="1:25" x14ac:dyDescent="0.35">
      <c r="A309" s="7">
        <v>308</v>
      </c>
      <c r="B309" s="7" t="str">
        <f>TEXT(Marketing!$D309,"MMMM")</f>
        <v>February</v>
      </c>
      <c r="C309" s="7" t="str">
        <f>TEXT(Marketing!$D309,"DDDD")</f>
        <v>Sunday</v>
      </c>
      <c r="D309" s="8">
        <v>44255</v>
      </c>
      <c r="E309" s="7" t="s">
        <v>13</v>
      </c>
      <c r="F309" s="7" t="s">
        <v>14</v>
      </c>
      <c r="G309" s="7">
        <v>39889</v>
      </c>
      <c r="H309" s="7">
        <v>8490000</v>
      </c>
      <c r="I309" s="13">
        <v>6822.62</v>
      </c>
      <c r="J309" s="7">
        <v>849</v>
      </c>
      <c r="K309" s="7">
        <v>18</v>
      </c>
      <c r="L309" s="7">
        <v>2</v>
      </c>
      <c r="M309" s="13">
        <v>7030</v>
      </c>
      <c r="N309" s="15">
        <v>3.0395947597843659E-4</v>
      </c>
      <c r="O309" s="16">
        <v>9.9999999999999995E-7</v>
      </c>
      <c r="P309" s="18">
        <v>2.1201413427561838E-4</v>
      </c>
      <c r="Q309" s="16">
        <v>1.1111111111111111E-3</v>
      </c>
      <c r="R309" s="13">
        <f>IF(Marketing!$L309=0, 0, Marketing!$M309/Marketing!$L309)</f>
        <v>3515</v>
      </c>
      <c r="S309" s="13">
        <f>IF(Marketing!$J309=0,0,Marketing!$I309/Marketing!$J309)</f>
        <v>8.0360659599528859</v>
      </c>
      <c r="T309" s="13">
        <f>IF(Marketing!$K309=0,0,Marketing!$I309/Marketing!$K309)</f>
        <v>379.03444444444443</v>
      </c>
      <c r="U309" s="13">
        <f>Marketing!$M309 - Marketing!$I309</f>
        <v>207.38000000000011</v>
      </c>
      <c r="V309" s="13">
        <f>IF(Marketing!$L309=0,0,Marketing!$I309/Marketing!$L309)</f>
        <v>3411.31</v>
      </c>
      <c r="W309" s="7" t="str">
        <f>IF(ISNUMBER(SEARCH("tier1",Marketing!$E309)),"Tier 1","Tier 2")</f>
        <v>Tier 2</v>
      </c>
      <c r="X309" s="7" t="str">
        <f t="shared" si="4"/>
        <v>Tier 2</v>
      </c>
      <c r="Y309" s="7" t="str">
        <f>IF(WEEKDAY(Marketing!$D309,2)&lt;6,"Weekday","Weekend")</f>
        <v>Weekend</v>
      </c>
    </row>
    <row r="310" spans="1:25" x14ac:dyDescent="0.35">
      <c r="A310" s="5"/>
      <c r="B310" s="5"/>
      <c r="C310" s="5"/>
      <c r="D310" s="6"/>
      <c r="E310" s="5"/>
      <c r="F310" s="5"/>
      <c r="G310" s="5"/>
      <c r="H310" s="5"/>
      <c r="I310" s="12">
        <f>SUM(Marketing[Mark spent])</f>
        <v>30590879.819999997</v>
      </c>
      <c r="J310" s="5"/>
      <c r="K310" s="5"/>
      <c r="L310" s="5">
        <f>SUM(Marketing[Orders])</f>
        <v>8043</v>
      </c>
      <c r="M310" s="12">
        <f>SUM(Marketing[Revenue])</f>
        <v>42889366</v>
      </c>
      <c r="N310" s="31">
        <f>(Marketing[[#Totals],[Revenue]]-Marketing[[#Totals],[Mark spent]])/Marketing[[#Totals],[Mark spent]]</f>
        <v>0.402031136481383</v>
      </c>
      <c r="O310" s="32"/>
      <c r="P310" s="33"/>
      <c r="Q310" s="32"/>
      <c r="R310" s="12"/>
      <c r="S310" s="12"/>
      <c r="T310" s="12"/>
      <c r="U310" s="12"/>
      <c r="V310" s="12"/>
      <c r="W310" s="5"/>
      <c r="X310" s="5"/>
      <c r="Y310" s="5"/>
    </row>
  </sheetData>
  <phoneticPr fontId="18"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ACC18D-996D-4282-AFEA-173DAF1773E9}">
  <dimension ref="A1:U3"/>
  <sheetViews>
    <sheetView workbookViewId="0">
      <selection activeCell="E3" sqref="A1:U3"/>
    </sheetView>
  </sheetViews>
  <sheetFormatPr defaultRowHeight="14.5" x14ac:dyDescent="0.35"/>
  <sheetData>
    <row r="1" spans="1:21" x14ac:dyDescent="0.35">
      <c r="A1" s="34" t="s">
        <v>60</v>
      </c>
      <c r="B1" s="34"/>
      <c r="C1" s="34"/>
      <c r="D1" s="34"/>
      <c r="E1" s="34"/>
      <c r="F1" s="34"/>
      <c r="G1" s="34"/>
      <c r="H1" s="34"/>
      <c r="I1" s="34"/>
      <c r="J1" s="34"/>
      <c r="K1" s="34"/>
      <c r="L1" s="34"/>
      <c r="M1" s="34"/>
      <c r="N1" s="34"/>
    </row>
    <row r="2" spans="1:21" x14ac:dyDescent="0.35">
      <c r="A2" s="34" t="s">
        <v>48</v>
      </c>
      <c r="B2" s="34"/>
      <c r="C2" s="34"/>
      <c r="D2" s="34"/>
      <c r="E2" s="34"/>
      <c r="F2" s="34"/>
      <c r="G2" s="34"/>
      <c r="H2" s="34"/>
      <c r="I2" s="34"/>
      <c r="J2" s="34"/>
      <c r="K2" s="34"/>
      <c r="L2" s="34"/>
      <c r="M2" s="34"/>
      <c r="N2" s="34"/>
      <c r="O2" s="34"/>
      <c r="P2" s="34"/>
      <c r="Q2" s="34"/>
      <c r="R2" s="34"/>
      <c r="S2" s="34"/>
      <c r="T2" s="34"/>
      <c r="U2" s="34"/>
    </row>
    <row r="3" spans="1:21" x14ac:dyDescent="0.35">
      <c r="A3" t="s">
        <v>56</v>
      </c>
    </row>
  </sheetData>
  <mergeCells count="2">
    <mergeCell ref="A1:N1"/>
    <mergeCell ref="A2:U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5E7EA-7A83-4056-A2FA-9C0579BBC025}">
  <dimension ref="A1:D129"/>
  <sheetViews>
    <sheetView showRowColHeaders="0" topLeftCell="A81" zoomScale="90" zoomScaleNormal="90" workbookViewId="0">
      <selection activeCell="B94" sqref="B94"/>
    </sheetView>
  </sheetViews>
  <sheetFormatPr defaultRowHeight="14.5" x14ac:dyDescent="0.35"/>
  <cols>
    <col min="1" max="1" width="18.1796875" bestFit="1" customWidth="1"/>
    <col min="2" max="2" width="19" bestFit="1" customWidth="1"/>
    <col min="3" max="3" width="14.81640625" bestFit="1" customWidth="1"/>
    <col min="4" max="4" width="13.36328125" bestFit="1" customWidth="1"/>
    <col min="5" max="5" width="27.08984375" bestFit="1" customWidth="1"/>
    <col min="6" max="6" width="13.26953125" bestFit="1" customWidth="1"/>
    <col min="7" max="7" width="15" bestFit="1" customWidth="1"/>
  </cols>
  <sheetData>
    <row r="1" spans="1:2" ht="29" x14ac:dyDescent="0.35">
      <c r="A1" s="27" t="s">
        <v>57</v>
      </c>
      <c r="B1" s="10">
        <f>(Marketing[[#Totals],[Revenue]]-Marketing[[#Totals],[Mark spent]])/Marketing[[#Totals],[Mark spent]]</f>
        <v>0.402031136481383</v>
      </c>
    </row>
    <row r="2" spans="1:2" x14ac:dyDescent="0.35">
      <c r="B2" s="10"/>
    </row>
    <row r="3" spans="1:2" x14ac:dyDescent="0.35">
      <c r="A3" t="s">
        <v>41</v>
      </c>
    </row>
    <row r="4" spans="1:2" x14ac:dyDescent="0.35">
      <c r="A4" s="26">
        <v>0.402031136481383</v>
      </c>
    </row>
    <row r="11" spans="1:2" ht="29" x14ac:dyDescent="0.35">
      <c r="A11" s="27" t="s">
        <v>59</v>
      </c>
    </row>
    <row r="12" spans="1:2" x14ac:dyDescent="0.35">
      <c r="A12" s="2" t="s">
        <v>26</v>
      </c>
      <c r="B12" t="s">
        <v>58</v>
      </c>
    </row>
    <row r="13" spans="1:2" x14ac:dyDescent="0.35">
      <c r="A13" s="3" t="s">
        <v>6</v>
      </c>
      <c r="B13" s="26">
        <v>2.7732066438861067</v>
      </c>
    </row>
    <row r="14" spans="1:2" x14ac:dyDescent="0.35">
      <c r="A14" s="3" t="s">
        <v>10</v>
      </c>
      <c r="B14" s="26">
        <v>1.0149608456936874</v>
      </c>
    </row>
    <row r="15" spans="1:2" x14ac:dyDescent="0.35">
      <c r="A15" s="3" t="s">
        <v>3</v>
      </c>
      <c r="B15" s="26">
        <v>0.8381243993952131</v>
      </c>
    </row>
    <row r="16" spans="1:2" x14ac:dyDescent="0.35">
      <c r="A16" s="3" t="s">
        <v>8</v>
      </c>
      <c r="B16" s="26">
        <v>0.77139683439674955</v>
      </c>
    </row>
    <row r="17" spans="1:3" x14ac:dyDescent="0.35">
      <c r="A17" s="3" t="s">
        <v>12</v>
      </c>
      <c r="B17" s="26">
        <v>0.36754210796971321</v>
      </c>
    </row>
    <row r="18" spans="1:3" x14ac:dyDescent="0.35">
      <c r="A18" s="3" t="s">
        <v>13</v>
      </c>
      <c r="B18" s="26">
        <v>0.22406168964072765</v>
      </c>
    </row>
    <row r="19" spans="1:3" x14ac:dyDescent="0.35">
      <c r="A19" s="3" t="s">
        <v>1</v>
      </c>
      <c r="B19" s="26">
        <v>-6.565108704190907E-2</v>
      </c>
    </row>
    <row r="20" spans="1:3" x14ac:dyDescent="0.35">
      <c r="A20" s="3" t="s">
        <v>67</v>
      </c>
      <c r="B20" s="26">
        <v>-0.26216420900040205</v>
      </c>
    </row>
    <row r="21" spans="1:3" x14ac:dyDescent="0.35">
      <c r="A21" s="3" t="s">
        <v>5</v>
      </c>
      <c r="B21" s="26">
        <v>-0.33670273797532013</v>
      </c>
    </row>
    <row r="22" spans="1:3" x14ac:dyDescent="0.35">
      <c r="A22" s="3" t="s">
        <v>9</v>
      </c>
      <c r="B22" s="26">
        <v>-0.37114135742616844</v>
      </c>
    </row>
    <row r="23" spans="1:3" x14ac:dyDescent="0.35">
      <c r="A23" s="3" t="s">
        <v>11</v>
      </c>
      <c r="B23" s="26">
        <v>-0.88635885509615275</v>
      </c>
    </row>
    <row r="24" spans="1:3" x14ac:dyDescent="0.35">
      <c r="A24" s="3" t="s">
        <v>25</v>
      </c>
      <c r="B24" s="26">
        <v>0.40203113648138233</v>
      </c>
    </row>
    <row r="27" spans="1:3" x14ac:dyDescent="0.35">
      <c r="A27" s="3"/>
    </row>
    <row r="28" spans="1:3" x14ac:dyDescent="0.35">
      <c r="A28">
        <v>3</v>
      </c>
    </row>
    <row r="29" spans="1:3" x14ac:dyDescent="0.35">
      <c r="A29" s="2" t="s">
        <v>28</v>
      </c>
      <c r="B29" t="s">
        <v>40</v>
      </c>
      <c r="C29" t="s">
        <v>42</v>
      </c>
    </row>
    <row r="30" spans="1:3" x14ac:dyDescent="0.35">
      <c r="A30" s="4">
        <v>44228</v>
      </c>
      <c r="B30" s="9">
        <v>182676</v>
      </c>
      <c r="C30" s="9">
        <v>120844.71999999999</v>
      </c>
    </row>
    <row r="31" spans="1:3" x14ac:dyDescent="0.35">
      <c r="A31" s="4">
        <v>44229</v>
      </c>
      <c r="B31" s="9">
        <v>316369</v>
      </c>
      <c r="C31" s="9">
        <v>189064.91000000003</v>
      </c>
    </row>
    <row r="32" spans="1:3" x14ac:dyDescent="0.35">
      <c r="A32" s="4">
        <v>44230</v>
      </c>
      <c r="B32" s="9">
        <v>1583142</v>
      </c>
      <c r="C32" s="9">
        <v>922808.01000000013</v>
      </c>
    </row>
    <row r="33" spans="1:3" x14ac:dyDescent="0.35">
      <c r="A33" s="4">
        <v>44231</v>
      </c>
      <c r="B33" s="9">
        <v>1633899</v>
      </c>
      <c r="C33" s="9">
        <v>1168337.3499999999</v>
      </c>
    </row>
    <row r="34" spans="1:3" x14ac:dyDescent="0.35">
      <c r="A34" s="4">
        <v>44232</v>
      </c>
      <c r="B34" s="9">
        <v>2704723</v>
      </c>
      <c r="C34" s="9">
        <v>1883989.74</v>
      </c>
    </row>
    <row r="35" spans="1:3" x14ac:dyDescent="0.35">
      <c r="A35" s="4">
        <v>44233</v>
      </c>
      <c r="B35" s="9">
        <v>416199</v>
      </c>
      <c r="C35" s="9">
        <v>305983.26</v>
      </c>
    </row>
    <row r="36" spans="1:3" x14ac:dyDescent="0.35">
      <c r="A36" s="4">
        <v>44234</v>
      </c>
      <c r="B36" s="9">
        <v>434647</v>
      </c>
      <c r="C36" s="9">
        <v>306417.68</v>
      </c>
    </row>
    <row r="37" spans="1:3" x14ac:dyDescent="0.35">
      <c r="A37" s="4">
        <v>44235</v>
      </c>
      <c r="B37" s="9">
        <v>308655</v>
      </c>
      <c r="C37" s="9">
        <v>228203.44999999998</v>
      </c>
    </row>
    <row r="38" spans="1:3" x14ac:dyDescent="0.35">
      <c r="A38" s="4">
        <v>44236</v>
      </c>
      <c r="B38" s="9">
        <v>437923</v>
      </c>
      <c r="C38" s="9">
        <v>313716.54000000004</v>
      </c>
    </row>
    <row r="39" spans="1:3" x14ac:dyDescent="0.35">
      <c r="A39" s="4">
        <v>44237</v>
      </c>
      <c r="B39" s="9">
        <v>811363</v>
      </c>
      <c r="C39" s="9">
        <v>729951.8</v>
      </c>
    </row>
    <row r="40" spans="1:3" x14ac:dyDescent="0.35">
      <c r="A40" s="4">
        <v>44238</v>
      </c>
      <c r="B40" s="9">
        <v>1563209</v>
      </c>
      <c r="C40" s="9">
        <v>919245.87</v>
      </c>
    </row>
    <row r="41" spans="1:3" x14ac:dyDescent="0.35">
      <c r="A41" s="4">
        <v>44239</v>
      </c>
      <c r="B41" s="9">
        <v>1657464</v>
      </c>
      <c r="C41" s="9">
        <v>1155208.8000000003</v>
      </c>
    </row>
    <row r="42" spans="1:3" x14ac:dyDescent="0.35">
      <c r="A42" s="4">
        <v>44240</v>
      </c>
      <c r="B42" s="9">
        <v>2802893</v>
      </c>
      <c r="C42" s="9">
        <v>1825406.8800000004</v>
      </c>
    </row>
    <row r="43" spans="1:3" x14ac:dyDescent="0.35">
      <c r="A43" s="4">
        <v>44241</v>
      </c>
      <c r="B43" s="9">
        <v>2197128</v>
      </c>
      <c r="C43" s="9">
        <v>1881081.54</v>
      </c>
    </row>
    <row r="44" spans="1:3" x14ac:dyDescent="0.35">
      <c r="A44" s="4">
        <v>44242</v>
      </c>
      <c r="B44" s="9">
        <v>2795172</v>
      </c>
      <c r="C44" s="9">
        <v>1941196.56</v>
      </c>
    </row>
    <row r="45" spans="1:3" x14ac:dyDescent="0.35">
      <c r="A45" s="4">
        <v>44243</v>
      </c>
      <c r="B45" s="9">
        <v>3620594</v>
      </c>
      <c r="C45" s="9">
        <v>3035499</v>
      </c>
    </row>
    <row r="46" spans="1:3" x14ac:dyDescent="0.35">
      <c r="A46" s="4">
        <v>44244</v>
      </c>
      <c r="B46" s="9">
        <v>4139131</v>
      </c>
      <c r="C46" s="9">
        <v>3271291.5</v>
      </c>
    </row>
    <row r="47" spans="1:3" x14ac:dyDescent="0.35">
      <c r="A47" s="4">
        <v>44245</v>
      </c>
      <c r="B47" s="9">
        <v>2659560</v>
      </c>
      <c r="C47" s="9">
        <v>2158494.2000000002</v>
      </c>
    </row>
    <row r="48" spans="1:3" x14ac:dyDescent="0.35">
      <c r="A48" s="4">
        <v>44246</v>
      </c>
      <c r="B48" s="9">
        <v>4973240</v>
      </c>
      <c r="C48" s="9">
        <v>3091011.34</v>
      </c>
    </row>
    <row r="49" spans="1:3" x14ac:dyDescent="0.35">
      <c r="A49" s="4">
        <v>44247</v>
      </c>
      <c r="B49" s="9">
        <v>5261521</v>
      </c>
      <c r="C49" s="9">
        <v>3499171.7</v>
      </c>
    </row>
    <row r="50" spans="1:3" x14ac:dyDescent="0.35">
      <c r="A50" s="4">
        <v>44248</v>
      </c>
      <c r="B50" s="9">
        <v>436892</v>
      </c>
      <c r="C50" s="9">
        <v>301515.38</v>
      </c>
    </row>
    <row r="51" spans="1:3" x14ac:dyDescent="0.35">
      <c r="A51" s="4">
        <v>44249</v>
      </c>
      <c r="B51" s="9">
        <v>893154</v>
      </c>
      <c r="C51" s="9">
        <v>583694.38</v>
      </c>
    </row>
    <row r="52" spans="1:3" x14ac:dyDescent="0.35">
      <c r="A52" s="4">
        <v>44250</v>
      </c>
      <c r="B52" s="9">
        <v>162649</v>
      </c>
      <c r="C52" s="9">
        <v>117842.87</v>
      </c>
    </row>
    <row r="53" spans="1:3" x14ac:dyDescent="0.35">
      <c r="A53" s="4">
        <v>44251</v>
      </c>
      <c r="B53" s="9">
        <v>440159</v>
      </c>
      <c r="C53" s="9">
        <v>369238</v>
      </c>
    </row>
    <row r="54" spans="1:3" x14ac:dyDescent="0.35">
      <c r="A54" s="4">
        <v>44252</v>
      </c>
      <c r="B54" s="9">
        <v>99303</v>
      </c>
      <c r="C54" s="9">
        <v>66706.05</v>
      </c>
    </row>
    <row r="55" spans="1:3" x14ac:dyDescent="0.35">
      <c r="A55" s="4">
        <v>44253</v>
      </c>
      <c r="B55" s="9">
        <v>238748</v>
      </c>
      <c r="C55" s="9">
        <v>122692.88999999998</v>
      </c>
    </row>
    <row r="56" spans="1:3" x14ac:dyDescent="0.35">
      <c r="A56" s="4">
        <v>44254</v>
      </c>
      <c r="B56" s="9">
        <v>42789</v>
      </c>
      <c r="C56" s="9">
        <v>28902.73</v>
      </c>
    </row>
    <row r="57" spans="1:3" x14ac:dyDescent="0.35">
      <c r="A57" s="4">
        <v>44255</v>
      </c>
      <c r="B57" s="9">
        <v>76164</v>
      </c>
      <c r="C57" s="9">
        <v>53362.670000000006</v>
      </c>
    </row>
    <row r="58" spans="1:3" x14ac:dyDescent="0.35">
      <c r="A58" s="4" t="s">
        <v>25</v>
      </c>
      <c r="B58" s="9">
        <v>42889366</v>
      </c>
      <c r="C58" s="9">
        <v>30590879.82</v>
      </c>
    </row>
    <row r="59" spans="1:3" x14ac:dyDescent="0.35">
      <c r="A59" s="4"/>
      <c r="B59" s="9"/>
      <c r="C59" s="9"/>
    </row>
    <row r="60" spans="1:3" x14ac:dyDescent="0.35">
      <c r="A60" s="4"/>
      <c r="B60" s="9"/>
      <c r="C60" s="9"/>
    </row>
    <row r="61" spans="1:3" x14ac:dyDescent="0.35">
      <c r="A61" s="2" t="s">
        <v>53</v>
      </c>
      <c r="B61" t="s">
        <v>43</v>
      </c>
    </row>
    <row r="62" spans="1:3" x14ac:dyDescent="0.35">
      <c r="A62" s="4">
        <v>44252</v>
      </c>
      <c r="B62">
        <v>0.15037593984962405</v>
      </c>
    </row>
    <row r="63" spans="1:3" x14ac:dyDescent="0.35">
      <c r="A63" s="4">
        <v>44246</v>
      </c>
      <c r="B63">
        <v>0.14321947920189382</v>
      </c>
    </row>
    <row r="64" spans="1:3" x14ac:dyDescent="0.35">
      <c r="A64" s="4">
        <v>44229</v>
      </c>
      <c r="B64">
        <v>0.13989637305699482</v>
      </c>
    </row>
    <row r="65" spans="1:2" x14ac:dyDescent="0.35">
      <c r="A65" s="4">
        <v>44251</v>
      </c>
      <c r="B65">
        <v>0.13777089783281735</v>
      </c>
    </row>
    <row r="66" spans="1:2" x14ac:dyDescent="0.35">
      <c r="A66" s="4">
        <v>44244</v>
      </c>
      <c r="B66">
        <v>0.13239953309988328</v>
      </c>
    </row>
    <row r="67" spans="1:2" x14ac:dyDescent="0.35">
      <c r="A67" s="4">
        <v>44240</v>
      </c>
      <c r="B67">
        <v>0.13165829145728644</v>
      </c>
    </row>
    <row r="68" spans="1:2" x14ac:dyDescent="0.35">
      <c r="A68" s="4">
        <v>44249</v>
      </c>
      <c r="B68">
        <v>0.1316225165562914</v>
      </c>
    </row>
    <row r="69" spans="1:2" x14ac:dyDescent="0.35">
      <c r="A69" s="4">
        <v>44238</v>
      </c>
      <c r="B69">
        <v>0.13157894736842105</v>
      </c>
    </row>
    <row r="70" spans="1:2" x14ac:dyDescent="0.35">
      <c r="A70" s="4">
        <v>44231</v>
      </c>
      <c r="B70">
        <v>0.13121604680317592</v>
      </c>
    </row>
    <row r="71" spans="1:2" x14ac:dyDescent="0.35">
      <c r="A71" s="4">
        <v>44236</v>
      </c>
      <c r="B71">
        <v>0.12792511700468018</v>
      </c>
    </row>
    <row r="72" spans="1:2" x14ac:dyDescent="0.35">
      <c r="A72" s="4">
        <v>44255</v>
      </c>
      <c r="B72">
        <v>0.12745098039215685</v>
      </c>
    </row>
    <row r="73" spans="1:2" x14ac:dyDescent="0.35">
      <c r="A73" s="4">
        <v>44247</v>
      </c>
      <c r="B73">
        <v>0.12657757980697848</v>
      </c>
    </row>
    <row r="74" spans="1:2" x14ac:dyDescent="0.35">
      <c r="A74" s="4">
        <v>44248</v>
      </c>
      <c r="B74">
        <v>0.12647058823529411</v>
      </c>
    </row>
    <row r="75" spans="1:2" x14ac:dyDescent="0.35">
      <c r="A75" s="4">
        <v>44239</v>
      </c>
      <c r="B75">
        <v>0.12575090108129755</v>
      </c>
    </row>
    <row r="76" spans="1:2" x14ac:dyDescent="0.35">
      <c r="A76" s="4">
        <v>44232</v>
      </c>
      <c r="B76">
        <v>0.12559492332099417</v>
      </c>
    </row>
    <row r="77" spans="1:2" x14ac:dyDescent="0.35">
      <c r="A77" s="4">
        <v>44243</v>
      </c>
      <c r="B77">
        <v>0.12195981670778992</v>
      </c>
    </row>
    <row r="78" spans="1:2" x14ac:dyDescent="0.35">
      <c r="A78" s="4">
        <v>44230</v>
      </c>
      <c r="B78">
        <v>0.1196319018404908</v>
      </c>
    </row>
    <row r="79" spans="1:2" x14ac:dyDescent="0.35">
      <c r="A79" s="4">
        <v>44233</v>
      </c>
      <c r="B79">
        <v>0.11942675159235669</v>
      </c>
    </row>
    <row r="80" spans="1:2" x14ac:dyDescent="0.35">
      <c r="A80" s="4">
        <v>44250</v>
      </c>
      <c r="B80">
        <v>0.1166077738515901</v>
      </c>
    </row>
    <row r="81" spans="1:3" x14ac:dyDescent="0.35">
      <c r="A81" s="4">
        <v>44253</v>
      </c>
      <c r="B81">
        <v>0.1165644171779141</v>
      </c>
    </row>
    <row r="82" spans="1:3" x14ac:dyDescent="0.35">
      <c r="A82" s="4">
        <v>44242</v>
      </c>
      <c r="B82">
        <v>0.11360634081902246</v>
      </c>
    </row>
    <row r="83" spans="1:3" x14ac:dyDescent="0.35">
      <c r="A83" s="4">
        <v>44237</v>
      </c>
      <c r="B83">
        <v>0.11359623307828134</v>
      </c>
    </row>
    <row r="84" spans="1:3" x14ac:dyDescent="0.35">
      <c r="A84" s="4">
        <v>44235</v>
      </c>
      <c r="B84">
        <v>0.11320754716981132</v>
      </c>
    </row>
    <row r="85" spans="1:3" x14ac:dyDescent="0.35">
      <c r="A85" s="4">
        <v>44241</v>
      </c>
      <c r="B85">
        <v>0.1114032990676548</v>
      </c>
    </row>
    <row r="86" spans="1:3" x14ac:dyDescent="0.35">
      <c r="A86" s="4">
        <v>44234</v>
      </c>
      <c r="B86">
        <v>0.10683229813664596</v>
      </c>
    </row>
    <row r="87" spans="1:3" x14ac:dyDescent="0.35">
      <c r="A87" s="4">
        <v>44254</v>
      </c>
      <c r="B87">
        <v>0.1</v>
      </c>
    </row>
    <row r="88" spans="1:3" x14ac:dyDescent="0.35">
      <c r="A88" s="4">
        <v>44228</v>
      </c>
      <c r="B88">
        <v>9.0090090090090086E-2</v>
      </c>
    </row>
    <row r="89" spans="1:3" x14ac:dyDescent="0.35">
      <c r="A89" s="4">
        <v>44245</v>
      </c>
      <c r="B89">
        <v>8.9547098329602198E-2</v>
      </c>
    </row>
    <row r="90" spans="1:3" x14ac:dyDescent="0.35">
      <c r="A90" s="4" t="s">
        <v>25</v>
      </c>
      <c r="B90">
        <v>0.12264596898397352</v>
      </c>
    </row>
    <row r="91" spans="1:3" x14ac:dyDescent="0.35">
      <c r="A91" s="4"/>
      <c r="B91" s="9"/>
      <c r="C91" s="9"/>
    </row>
    <row r="93" spans="1:3" x14ac:dyDescent="0.35">
      <c r="A93" t="s">
        <v>44</v>
      </c>
    </row>
    <row r="94" spans="1:3" x14ac:dyDescent="0.35">
      <c r="B94" s="9">
        <f>Marketing[[#Totals],[Revenue]]/Marketing[[#Totals],[Orders]]</f>
        <v>5332.5085167226162</v>
      </c>
    </row>
    <row r="96" spans="1:3" x14ac:dyDescent="0.35">
      <c r="A96" t="s">
        <v>45</v>
      </c>
    </row>
    <row r="97" spans="1:4" x14ac:dyDescent="0.35">
      <c r="A97" s="2" t="s">
        <v>52</v>
      </c>
      <c r="B97" t="s">
        <v>49</v>
      </c>
      <c r="C97" t="s">
        <v>50</v>
      </c>
      <c r="D97" t="s">
        <v>51</v>
      </c>
    </row>
    <row r="98" spans="1:4" x14ac:dyDescent="0.35">
      <c r="A98" s="3" t="s">
        <v>46</v>
      </c>
      <c r="B98" s="9">
        <v>141914.24090909091</v>
      </c>
      <c r="C98" s="26">
        <v>26.195454545454545</v>
      </c>
      <c r="D98" s="26">
        <v>10049.604545454546</v>
      </c>
    </row>
    <row r="99" spans="1:4" x14ac:dyDescent="0.35">
      <c r="A99" s="3" t="s">
        <v>47</v>
      </c>
      <c r="B99" s="9">
        <v>132593.55681818182</v>
      </c>
      <c r="C99" s="26">
        <v>25.90909090909091</v>
      </c>
      <c r="D99" s="26">
        <v>8965.9772727272721</v>
      </c>
    </row>
    <row r="111" spans="1:4" x14ac:dyDescent="0.35">
      <c r="A111" t="s">
        <v>54</v>
      </c>
    </row>
    <row r="113" spans="1:4" x14ac:dyDescent="0.35">
      <c r="A113" s="2" t="s">
        <v>55</v>
      </c>
      <c r="B113" t="s">
        <v>40</v>
      </c>
      <c r="C113" t="s">
        <v>42</v>
      </c>
      <c r="D113" t="s">
        <v>61</v>
      </c>
    </row>
    <row r="114" spans="1:4" x14ac:dyDescent="0.35">
      <c r="A114" s="3" t="s">
        <v>7</v>
      </c>
      <c r="B114" s="9">
        <v>21119887</v>
      </c>
      <c r="C114" s="9">
        <v>8305304.080000001</v>
      </c>
      <c r="D114" s="28">
        <v>1.5429396439389607</v>
      </c>
    </row>
    <row r="115" spans="1:4" x14ac:dyDescent="0.35">
      <c r="A115" s="3" t="s">
        <v>14</v>
      </c>
      <c r="B115" s="9">
        <v>6152960</v>
      </c>
      <c r="C115" s="9">
        <v>5026674.7600000007</v>
      </c>
      <c r="D115" s="28">
        <v>0.22406168964072765</v>
      </c>
    </row>
    <row r="116" spans="1:4" x14ac:dyDescent="0.35">
      <c r="A116" s="3" t="s">
        <v>4</v>
      </c>
      <c r="B116" s="9">
        <v>3705065</v>
      </c>
      <c r="C116" s="9">
        <v>3460400.0700000008</v>
      </c>
      <c r="D116" s="28">
        <v>7.0704232184343699E-2</v>
      </c>
    </row>
    <row r="117" spans="1:4" x14ac:dyDescent="0.35">
      <c r="A117" s="3" t="s">
        <v>2</v>
      </c>
      <c r="B117" s="9">
        <v>11911454</v>
      </c>
      <c r="C117" s="9">
        <v>13798500.909999993</v>
      </c>
      <c r="D117" s="28">
        <v>-0.13675738562530512</v>
      </c>
    </row>
    <row r="126" spans="1:4" ht="58" x14ac:dyDescent="0.35">
      <c r="A126" s="27" t="s">
        <v>62</v>
      </c>
      <c r="B126" s="27"/>
      <c r="C126" s="27"/>
      <c r="D126" s="27"/>
    </row>
    <row r="127" spans="1:4" x14ac:dyDescent="0.35">
      <c r="A127" s="2" t="s">
        <v>66</v>
      </c>
      <c r="B127" t="s">
        <v>40</v>
      </c>
      <c r="C127" t="s">
        <v>42</v>
      </c>
      <c r="D127" t="s">
        <v>61</v>
      </c>
    </row>
    <row r="128" spans="1:4" x14ac:dyDescent="0.35">
      <c r="A128" s="3" t="s">
        <v>64</v>
      </c>
      <c r="B128" s="9">
        <v>6940536</v>
      </c>
      <c r="C128" s="9">
        <v>5130070.7300000023</v>
      </c>
      <c r="D128" s="28">
        <v>0.35291234084018114</v>
      </c>
    </row>
    <row r="129" spans="1:4" x14ac:dyDescent="0.35">
      <c r="A129" s="3" t="s">
        <v>65</v>
      </c>
      <c r="B129" s="9">
        <v>35948830</v>
      </c>
      <c r="C129" s="9">
        <v>25460809.09</v>
      </c>
      <c r="D129" s="28">
        <v>0.41192802918895771</v>
      </c>
    </row>
  </sheetData>
  <pageMargins left="0.7" right="0.7" top="0.75" bottom="0.75" header="0.3" footer="0.3"/>
  <drawing r:id="rId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CB3CD-7954-423D-9F3E-1253B7CA0DB1}">
  <dimension ref="A1"/>
  <sheetViews>
    <sheetView showGridLines="0" showRowColHeaders="0" workbookViewId="0">
      <selection activeCell="Q13" sqref="Q13"/>
    </sheetView>
  </sheetViews>
  <sheetFormatPr defaultRowHeight="14.5" x14ac:dyDescent="0.3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B2BCF-45D4-47EF-BA36-F755F011D1DE}">
  <dimension ref="M5"/>
  <sheetViews>
    <sheetView showGridLines="0" showRowColHeaders="0" tabSelected="1" workbookViewId="0">
      <selection activeCell="V31" sqref="V31"/>
    </sheetView>
  </sheetViews>
  <sheetFormatPr defaultRowHeight="14.5" x14ac:dyDescent="0.35"/>
  <cols>
    <col min="1" max="16384" width="8.7265625" style="29"/>
  </cols>
  <sheetData>
    <row r="5" spans="13:13" x14ac:dyDescent="0.35">
      <c r="M5" s="3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Marketing</vt:lpstr>
      <vt:lpstr>Sheet1</vt:lpstr>
      <vt:lpstr>Pivot Engine</vt:lpstr>
      <vt:lpstr>Introduction</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Damsel Umeh</dc:creator>
  <cp:lastModifiedBy>Mowaninuola Umarudeen</cp:lastModifiedBy>
  <dcterms:created xsi:type="dcterms:W3CDTF">2025-12-05T00:24:22Z</dcterms:created>
  <dcterms:modified xsi:type="dcterms:W3CDTF">2026-09-25T11:25:58Z</dcterms:modified>
</cp:coreProperties>
</file>